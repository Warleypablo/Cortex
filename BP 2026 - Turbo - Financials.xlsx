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ções" sheetId="1" r:id="rId5"/>
    <sheet state="visible" name="Overview" sheetId="2" r:id="rId6"/>
    <sheet state="visible" name="SG&amp;A" sheetId="3" r:id="rId7"/>
    <sheet state="visible" name="CSV" sheetId="4" r:id="rId8"/>
    <sheet state="hidden" name="Overview Old" sheetId="5" r:id="rId9"/>
    <sheet state="hidden" name="BP ORÇADO X REALIZADO" sheetId="6" r:id="rId10"/>
    <sheet state="visible" name="CAC" sheetId="7" r:id="rId11"/>
    <sheet state="visible" name="Revenue" sheetId="8" r:id="rId12"/>
    <sheet state="visible" name="CAPEX e Giro" sheetId="9" r:id="rId13"/>
    <sheet state="visible" name="Tributário" sheetId="10" r:id="rId14"/>
    <sheet state="visible" name="Turbooh" sheetId="11" r:id="rId15"/>
    <sheet state="visible" name="Outras Receitas" sheetId="12" r:id="rId16"/>
    <sheet state="visible" name="Eventos" sheetId="13" r:id="rId17"/>
    <sheet state="visible" name="Gente e Gestão" sheetId="14" r:id="rId18"/>
    <sheet state="hidden" name="nao mexer" sheetId="15" r:id="rId19"/>
    <sheet state="visible" name="Gazeta" sheetId="16" r:id="rId20"/>
    <sheet state="hidden" name="Hugz" sheetId="17" r:id="rId21"/>
    <sheet state="visible" name="Next Years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tc={1013e2c2-df82-4229-aae8-8c13cc0c78ab}</author>
    <author>tc={27b6b770-eada-4dd3-8fe5-6aa88dd84020}</author>
    <author>tc={5155861e-453c-468d-8905-78e7f2e0eee6}</author>
    <author>tc={61b3cf1e-5765-464e-9a17-e614a08280af}</author>
    <author>tc={66eb9bbf-9a76-4a95-a45a-c79838faef5a}</author>
    <author>tc={85f5ec67-d673-477d-b9a6-79b1a1c54c21}</author>
    <author>tc={b0591100-5af5-49c2-a673-6d63ddf3ccd7}</author>
    <author>tc={b1a4cdcf-7bea-4068-ade1-b81de4ec6a54}</author>
    <author>tc={e1dcf446-b11d-431e-942b-37c598ab7d70}</author>
  </authors>
  <commentList>
    <comment authorId="0" xr:uid="{1013e2c2-df82-4229-aae8-8c13cc0c78ab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enotas, bot conversa, github, etc..
</t>
      </text>
    </comment>
    <comment authorId="1" xr:uid="{27b6b770-eada-4dd3-8fe5-6aa88dd84020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Novo
</t>
      </text>
    </comment>
    <comment authorId="2" xr:uid="{5155861e-453c-468d-8905-78e7f2e0eee6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Considerei como CSV
</t>
      </text>
    </comment>
    <comment authorId="3" xr:uid="{61b3cf1e-5765-464e-9a17-e614a08280af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financeiro
</t>
      </text>
    </comment>
    <comment authorId="4" xr:uid="{66eb9bbf-9a76-4a95-a45a-c79838faef5a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Quem vamos subir?
</t>
      </text>
    </comment>
    <comment authorId="5" xr:uid="{85f5ec67-d673-477d-b9a6-79b1a1c54c21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Vamos aumentar custo? Como vamos comportar tanta gente?
</t>
      </text>
    </comment>
    <comment authorId="6" xr:uid="{b0591100-5af5-49c2-a673-6d63ddf3ccd7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Gastamos hj 5k
</t>
      </text>
    </comment>
    <comment authorId="7" xr:uid="{b1a4cdcf-7bea-4068-ade1-b81de4ec6a54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Parcialmente no CSV
</t>
      </text>
    </comment>
    <comment authorId="8" xr:uid="{e1dcf446-b11d-431e-942b-37c598ab7d70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fonte hub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tc={7378d9a8-82e1-4653-a915-01149da78fee}</author>
    <author>tc={82df804c-eaeb-484d-863d-4d442bc3418a}</author>
  </authors>
  <commentList>
    <comment authorId="0" xr:uid="{7378d9a8-82e1-4653-a915-01149da78fee}" ref="C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 gastamos uns 10k em média (antes estava bookado 5k)
</t>
      </text>
    </comment>
    <comment authorId="1" xr:uid="{82df804c-eaeb-484d-863d-4d442bc3418a}" ref="C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 pagamos uns 20k em média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tc={bedb7045-c51e-460a-ae96-29c8e19de640}</author>
  </authors>
  <commentList>
    <comment authorId="0" xr:uid="{bedb7045-c51e-460a-ae96-29c8e19de64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Visão de caixa
Reply:
	Adicionei um residual do saldo de pontuais vendidos no ano anterior nos primeiros meses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tc={29783355-13a9-4ea3-90a8-1343671b2b18}</author>
    <author>tc={53412ad8-6545-4db1-8092-37c753f13fcf}</author>
    <author>tc={565c1579-f4af-49d0-8056-6813eefc57bc}</author>
    <author>tc={5c430610-8520-4299-b804-0fafe0377a43}</author>
    <author>tc={90851297-4a2a-40e8-a52a-01ceef42bb49}</author>
    <author>tc={bfeb9ed3-d757-465a-a618-ae86cea30ec6}</author>
    <author>tc={dead57fc-f3d5-467e-8644-cc4dbf54e3ce}</author>
    <author>tc={e7823155-2f66-45b1-b31f-27f3f7624746}</author>
    <author>tc={e94a0d9c-3bd5-4396-af70-d3c918581b33}</author>
    <author>tc={e96c80d2-7531-4bf9-9ab5-b8c7a8c582a7}</author>
    <author>tc={f85b7d57-892a-465c-9f2c-75c03629e070}</author>
    <author>tc={fb96e8e7-44ac-427c-aa35-5231279d73fc}</author>
  </authors>
  <commentList>
    <comment authorId="0" xr:uid="{29783355-13a9-4ea3-90a8-1343671b2b18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TurboWhen, Festa Junina, Outros
</t>
      </text>
    </comment>
    <comment authorId="1" xr:uid="{53412ad8-6545-4db1-8092-37c753f13fcf}" ref="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designer performance, designer creator, designer social
</t>
      </text>
    </comment>
    <comment authorId="2" xr:uid="{565c1579-f4af-49d0-8056-6813eefc57b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camisas a 75 reais cada
</t>
      </text>
    </comment>
    <comment authorId="3" xr:uid="{5c430610-8520-4299-b804-0fafe0377a43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 camisas a 40 reais cada
</t>
      </text>
    </comment>
    <comment authorId="4" xr:uid="{90851297-4a2a-40e8-a52a-01ceef42bb49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Kart, Airsoft, Game online, boliche, Pelada etc
</t>
      </text>
    </comment>
    <comment authorId="5" xr:uid="{bfeb9ed3-d757-465a-a618-ae86cea30ec6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Iremos ter a contabilidade de despesa e receita. ( o que colocamos foi o net )
</t>
      </text>
    </comment>
    <comment authorId="6" xr:uid="{dead57fc-f3d5-467e-8644-cc4dbf54e3ce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Caixa de bombom e chocolates + Mensagem
Consideramos 40 reais por pessoa
</t>
      </text>
    </comment>
    <comment authorId="7" xr:uid="{e7823155-2f66-45b1-b31f-27f3f7624746}" ref="Q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analista creators, analista comunicação, gestao de comunidade
</t>
      </text>
    </comment>
    <comment authorId="8" xr:uid="{e94a0d9c-3bd5-4396-af70-d3c918581b33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 reais por pessoa, consideramos 100 novas pessoas esse ano
</t>
      </text>
    </comment>
    <comment authorId="9" xr:uid="{e96c80d2-7531-4bf9-9ab5-b8c7a8c582a7}" ref="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Gestor de Performance, Gestão Others
</t>
      </text>
    </comment>
    <comment authorId="10" xr:uid="{f85b7d57-892a-465c-9f2c-75c03629e070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Trofeu com evolução + Mensagem + Camisa
Consideramos 200 reais e 84 pessoas
</t>
      </text>
    </comment>
    <comment authorId="11" xr:uid="{fb96e8e7-44ac-427c-aa35-5231279d73fc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Happy Hour, Evento de times (lideres, squadra etc)
</t>
      </text>
    </comment>
  </commentList>
</comments>
</file>

<file path=xl/sharedStrings.xml><?xml version="1.0" encoding="utf-8"?>
<sst xmlns="http://schemas.openxmlformats.org/spreadsheetml/2006/main" count="1978" uniqueCount="721">
  <si>
    <t>Deal com A Gazeta</t>
  </si>
  <si>
    <t>Conselho Consultivo</t>
  </si>
  <si>
    <t>Quais pessoas (Dudu, Omar, Simone?, Patrick?, Marcus Buaiz?, Angelo?, Fere?, Ulisses?, ), o que esperamos, qual remuneracao (% baixo ou pagar(quanto?)) , área (marketing, tech), qual frequencia (mensal/trimestral) etc</t>
  </si>
  <si>
    <t>Partnership de ações (tentar definir)</t>
  </si>
  <si>
    <t>Ações internas (eventos colaborador SG&amp;A)</t>
  </si>
  <si>
    <t>Quais ferramentas precisamos desenvolver</t>
  </si>
  <si>
    <t>Produtos&amp;Serviços gerais</t>
  </si>
  <si>
    <t>Fazer painel de iniciativas e Projetos</t>
  </si>
  <si>
    <t>https://docs.google.com/document/d/1Bd9xdiEdrcTYg6vKJGJvyknFmdaPA3eUgVTLtH2r8Kg/edit?tab=t.0</t>
  </si>
  <si>
    <t>Fechar OKR Trimestre e KPIs de acompanhamento</t>
  </si>
  <si>
    <t>Participacoes em outras empresas e ventures</t>
  </si>
  <si>
    <t>Hugz</t>
  </si>
  <si>
    <t>Marketing de Rochas</t>
  </si>
  <si>
    <t>Deal com Maely</t>
  </si>
  <si>
    <t>Capex outras iniciativas</t>
  </si>
  <si>
    <t>TurbOOH</t>
  </si>
  <si>
    <t xml:space="preserve">CAPEX infinito, Payback esperado 4 meses, </t>
  </si>
  <si>
    <t>Comites:</t>
  </si>
  <si>
    <t>Produto*</t>
  </si>
  <si>
    <t>Gente e Gestao</t>
  </si>
  <si>
    <t>Financeiro</t>
  </si>
  <si>
    <t>Vendas</t>
  </si>
  <si>
    <t>Content</t>
  </si>
  <si>
    <t>Premiações</t>
  </si>
  <si>
    <t>Final do Ano</t>
  </si>
  <si>
    <t>30% Bonus</t>
  </si>
  <si>
    <t>70% Dividendo</t>
  </si>
  <si>
    <t>BATER ISSO</t>
  </si>
  <si>
    <t>Spot Bonus</t>
  </si>
  <si>
    <t>Figurativo para os destaques</t>
  </si>
  <si>
    <t>Mensal</t>
  </si>
  <si>
    <t>Caju turbinado</t>
  </si>
  <si>
    <t>cafe da manha</t>
  </si>
  <si>
    <t>almoco equipe etc</t>
  </si>
  <si>
    <t xml:space="preserve">Distribuição = Caixa inicial + Geração de Caixa periodo - SALDO MINIMO CAIXA </t>
  </si>
  <si>
    <t>Poítica de 1x caixa para 2026</t>
  </si>
  <si>
    <t>Visão de DRE</t>
  </si>
  <si>
    <t>Caixa</t>
  </si>
  <si>
    <t>Mudanças</t>
  </si>
  <si>
    <t>Cap Table</t>
  </si>
  <si>
    <t>Dividendo</t>
  </si>
  <si>
    <t>Salários</t>
  </si>
  <si>
    <t xml:space="preserve">Bonus </t>
  </si>
  <si>
    <t>Bônus no inicio do ano atrelado a geração de caixa</t>
  </si>
  <si>
    <t>Rodrigo</t>
  </si>
  <si>
    <t>Heads - 30%</t>
  </si>
  <si>
    <t>Andre Musso</t>
  </si>
  <si>
    <t>Especialistas (15 -20 pessoas) - 30%</t>
  </si>
  <si>
    <t>Victor Peixoto</t>
  </si>
  <si>
    <t>Executivos - 40%</t>
  </si>
  <si>
    <t>Pool</t>
  </si>
  <si>
    <t>Condições</t>
  </si>
  <si>
    <t>Time</t>
  </si>
  <si>
    <t>&lt;10k - Pagamento em 3x</t>
  </si>
  <si>
    <t>Victor</t>
  </si>
  <si>
    <t>CEO</t>
  </si>
  <si>
    <t>10k - Pagamento em 6x</t>
  </si>
  <si>
    <t>Rafael</t>
  </si>
  <si>
    <t>COO</t>
  </si>
  <si>
    <t>Se sair da companhia, perde o bônus a receber</t>
  </si>
  <si>
    <t>João</t>
  </si>
  <si>
    <t>CRO</t>
  </si>
  <si>
    <t>André</t>
  </si>
  <si>
    <t>CIO</t>
  </si>
  <si>
    <t>Spot bonus</t>
  </si>
  <si>
    <t>CNBO</t>
  </si>
  <si>
    <t>Será uma premiação individual reconhecida pelos fundadores</t>
  </si>
  <si>
    <t>Lucas, Roberto, Glauber, Ismael, Padrão, Breno, Pedro, Karol</t>
  </si>
  <si>
    <t>Heads</t>
  </si>
  <si>
    <t>Todos  podem ganharar? Qual critério?</t>
  </si>
  <si>
    <t>Premios surpresas</t>
  </si>
  <si>
    <t>Pool de 20 pessoas?</t>
  </si>
  <si>
    <t>Especialistas</t>
  </si>
  <si>
    <t>Vão ser 20? 15? O que queremos?</t>
  </si>
  <si>
    <t>Indicação ao partnership</t>
  </si>
  <si>
    <t>Precisa ter um ano de casa</t>
  </si>
  <si>
    <t>Trimestre</t>
  </si>
  <si>
    <t>1 Trimestre</t>
  </si>
  <si>
    <t>2 Trimestre</t>
  </si>
  <si>
    <t>3 Trimestre</t>
  </si>
  <si>
    <t>4 Trimestre</t>
  </si>
  <si>
    <t>Janeiro</t>
  </si>
  <si>
    <t>Feveiro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</si>
  <si>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</si>
  <si>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</si>
  <si>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</si>
  <si>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</si>
  <si>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</si>
  <si>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</si>
  <si>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</si>
  <si>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</si>
  <si>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</si>
  <si>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</si>
  <si>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</si>
  <si>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Inadimpência</t>
  </si>
  <si>
    <t>(+) MRR Ativo</t>
  </si>
  <si>
    <t>(+) Receita Pontual</t>
  </si>
  <si>
    <t>(+) Outras Receitas</t>
  </si>
  <si>
    <t>(=) Receita Total Faturavel</t>
  </si>
  <si>
    <t>(-) Inadimplência</t>
  </si>
  <si>
    <t>(-) Impostos Sob Receita</t>
  </si>
  <si>
    <t>(=) Receita Líquida</t>
  </si>
  <si>
    <t>(-) CSV - Salários</t>
  </si>
  <si>
    <t>(-) CSV - Benefício</t>
  </si>
  <si>
    <t>(-) CSV - Stack Tecnologia</t>
  </si>
  <si>
    <t>(=) Margem Bruta</t>
  </si>
  <si>
    <t>(-) CAC</t>
  </si>
  <si>
    <t>(-) SG&amp;A</t>
  </si>
  <si>
    <t>(-) Bônus</t>
  </si>
  <si>
    <t>(=) EBITDA</t>
  </si>
  <si>
    <t>(-) IR + CSLL + ICMS + DIFALS</t>
  </si>
  <si>
    <t>(-) CAPEX</t>
  </si>
  <si>
    <t>(=) Geração de Caixa</t>
  </si>
  <si>
    <t>(%) Margem Geração</t>
  </si>
  <si>
    <t>Métricas Gerais</t>
  </si>
  <si>
    <t>Receita Total</t>
  </si>
  <si>
    <t>Despesa Total</t>
  </si>
  <si>
    <t>Vendas MRR</t>
  </si>
  <si>
    <t>Vendas Pontual</t>
  </si>
  <si>
    <t>Numero de Colaboradores</t>
  </si>
  <si>
    <t>Receita Cabeça</t>
  </si>
  <si>
    <t>MRR Cabeça</t>
  </si>
  <si>
    <t>Numero de Clientes</t>
  </si>
  <si>
    <t>Numero de Contratos</t>
  </si>
  <si>
    <t>Ticket Medio Cliente</t>
  </si>
  <si>
    <t>Ticket Medio Contratos</t>
  </si>
  <si>
    <t>Churn Mês</t>
  </si>
  <si>
    <t>Aliquota Imposto Efetiva</t>
  </si>
  <si>
    <t>Geracao de caixa</t>
  </si>
  <si>
    <t>Margem de geração</t>
  </si>
  <si>
    <t>Saldo de Caixa</t>
  </si>
  <si>
    <t>Pessoas em CSV</t>
  </si>
  <si>
    <t>Pessoas em CAC</t>
  </si>
  <si>
    <t>Pessoas em SGEA</t>
  </si>
  <si>
    <t>Delta 1x Caixa</t>
  </si>
  <si>
    <t>Delta 1,5x Caixa</t>
  </si>
  <si>
    <t>Delta 2x Caixa</t>
  </si>
  <si>
    <t>Delta 3x Caixa</t>
  </si>
  <si>
    <t>x Caixa</t>
  </si>
  <si>
    <t>Turnover máximo (25%): 38 desligamentos no ano</t>
  </si>
  <si>
    <t>CSV</t>
  </si>
  <si>
    <t>Mês</t>
  </si>
  <si>
    <t>Pessoas Totais Commerce (CSV)</t>
  </si>
  <si>
    <t xml:space="preserve">(=) SG&amp;A </t>
  </si>
  <si>
    <t>(-) UZK</t>
  </si>
  <si>
    <t>(-) Backoffice</t>
  </si>
  <si>
    <t>(-) Software</t>
  </si>
  <si>
    <t>(-) Ocupação</t>
  </si>
  <si>
    <t>(-) Beneficio Caju</t>
  </si>
  <si>
    <t>(-) Premiações</t>
  </si>
  <si>
    <t>(-) Eventos e Brindes Internos</t>
  </si>
  <si>
    <t>(-) Outras despesas</t>
  </si>
  <si>
    <t>UZK</t>
  </si>
  <si>
    <t>(=) UZK</t>
  </si>
  <si>
    <t>(-) Victor Peixoto</t>
  </si>
  <si>
    <t>(-) Rodrigo Queiroz</t>
  </si>
  <si>
    <t>(-) André Musso</t>
  </si>
  <si>
    <t>Backoffice</t>
  </si>
  <si>
    <t>(=) Backoffice</t>
  </si>
  <si>
    <t>(-) Marlon Carneiro</t>
  </si>
  <si>
    <t>(-) Warley Pablo</t>
  </si>
  <si>
    <t>(-) Eduardo Tonane</t>
  </si>
  <si>
    <t>(-) Karol Tognere</t>
  </si>
  <si>
    <t>(-) Lianca Lopes</t>
  </si>
  <si>
    <t>(-) Caio Massaroni</t>
  </si>
  <si>
    <t>(-) Thiago Folador</t>
  </si>
  <si>
    <t>(-) Julia Viana</t>
  </si>
  <si>
    <t>(-) Marcelus</t>
  </si>
  <si>
    <t>Novo - Contratar</t>
  </si>
  <si>
    <t>Software</t>
  </si>
  <si>
    <t>(=) Software</t>
  </si>
  <si>
    <t>GohighLevel</t>
  </si>
  <si>
    <t>Adobe</t>
  </si>
  <si>
    <t>Software Comercial</t>
  </si>
  <si>
    <t>Safetec</t>
  </si>
  <si>
    <t>Webflow</t>
  </si>
  <si>
    <t>Conta Azul</t>
  </si>
  <si>
    <t>Replit e AI Gerais</t>
  </si>
  <si>
    <t>Bitrix</t>
  </si>
  <si>
    <t>Clickup</t>
  </si>
  <si>
    <t>Outros</t>
  </si>
  <si>
    <t>Ocupação</t>
  </si>
  <si>
    <t>(=) Ocupação</t>
  </si>
  <si>
    <t>Telefonia/Internet</t>
  </si>
  <si>
    <t>Energia/Agua/IPTU</t>
  </si>
  <si>
    <t>Aluguel/Condominio</t>
  </si>
  <si>
    <t>Expediente/Limpeza/Outros</t>
  </si>
  <si>
    <t>Despesa com Infraestrutura</t>
  </si>
  <si>
    <t>Outras Despesas</t>
  </si>
  <si>
    <t>(=) Outras Despesas</t>
  </si>
  <si>
    <t>Tarifas/Taxas</t>
  </si>
  <si>
    <t>Outras Desp Adm.</t>
  </si>
  <si>
    <t>Contabilidade</t>
  </si>
  <si>
    <t>Juridico</t>
  </si>
  <si>
    <t>Consultoria Contabil</t>
  </si>
  <si>
    <t>Cursos e Mentorias</t>
  </si>
  <si>
    <t>Commerce</t>
  </si>
  <si>
    <t>CSV Total</t>
  </si>
  <si>
    <t>Quantidade de operadores</t>
  </si>
  <si>
    <t>Quantidade de Líderes</t>
  </si>
  <si>
    <t>Performance</t>
  </si>
  <si>
    <t>MRR Performance</t>
  </si>
  <si>
    <t>Contratos Performance</t>
  </si>
  <si>
    <t>Capacity Contratos</t>
  </si>
  <si>
    <t>Operadores Necessários</t>
  </si>
  <si>
    <t>Operadores Atuais</t>
  </si>
  <si>
    <t>Necessidade de contratar</t>
  </si>
  <si>
    <t>Contratos por gestor</t>
  </si>
  <si>
    <t>MRR por Gestor</t>
  </si>
  <si>
    <t>Gestor de Performance</t>
  </si>
  <si>
    <t>(=) Gestor de Performance</t>
  </si>
  <si>
    <t>(-) Gabriel Taufner</t>
  </si>
  <si>
    <t>(-) Allan Eduardo</t>
  </si>
  <si>
    <t>(-) Victor Matsushita</t>
  </si>
  <si>
    <t>(-) Gustavo Pires</t>
  </si>
  <si>
    <t>(-) Rayan Coutinho</t>
  </si>
  <si>
    <t>(-) Rafael Avila</t>
  </si>
  <si>
    <t>(-) Thiago Martins</t>
  </si>
  <si>
    <t>(-) Lucas Rosseti</t>
  </si>
  <si>
    <t>(-) Thiago Andrey</t>
  </si>
  <si>
    <t>(-) Victor Arpini</t>
  </si>
  <si>
    <t>(-) Bruno Parreira</t>
  </si>
  <si>
    <t>(-) Jônatas Cavalcante</t>
  </si>
  <si>
    <t>(-) Jordnei Gadelha</t>
  </si>
  <si>
    <t>(-) Renan Fortunato</t>
  </si>
  <si>
    <t>(-) Weverton</t>
  </si>
  <si>
    <t>(-) Jose Neto Santin</t>
  </si>
  <si>
    <t>(-) Bruno Silva</t>
  </si>
  <si>
    <t>Designer Performance</t>
  </si>
  <si>
    <t>Capacity</t>
  </si>
  <si>
    <t>Designers Necessários</t>
  </si>
  <si>
    <t>Designers Atuais</t>
  </si>
  <si>
    <t>Contas por Designer</t>
  </si>
  <si>
    <t>(=) Designer Performance</t>
  </si>
  <si>
    <t>Wendel Martins de Azevedo</t>
  </si>
  <si>
    <t>George Lucas</t>
  </si>
  <si>
    <t>Carlos</t>
  </si>
  <si>
    <t>Leonardo Soares</t>
  </si>
  <si>
    <t>Rayanne Vieira</t>
  </si>
  <si>
    <t xml:space="preserve">Bernardo </t>
  </si>
  <si>
    <t>João Lucas</t>
  </si>
  <si>
    <t>Elizio</t>
  </si>
  <si>
    <t>Creators</t>
  </si>
  <si>
    <t>MRR Creators</t>
  </si>
  <si>
    <t>Contratos Creators</t>
  </si>
  <si>
    <t>Contas por Analista</t>
  </si>
  <si>
    <t>MRR por Analista</t>
  </si>
  <si>
    <t>Analista de Creators</t>
  </si>
  <si>
    <t>(=) Analista de Creators</t>
  </si>
  <si>
    <t>Debora Mund</t>
  </si>
  <si>
    <t>Ana Lello</t>
  </si>
  <si>
    <t>Lara Grobério Miranda Carlos</t>
  </si>
  <si>
    <t>Mariana</t>
  </si>
  <si>
    <r>
      <rPr>
        <rFont val="Arial"/>
        <color theme="1"/>
      </rPr>
      <t>Geiziele (</t>
    </r>
    <r>
      <rPr>
        <rFont val="Arial"/>
        <i/>
        <color theme="1"/>
      </rPr>
      <t>estagiária</t>
    </r>
    <r>
      <rPr>
        <rFont val="Arial"/>
        <color theme="1"/>
      </rPr>
      <t>)</t>
    </r>
  </si>
  <si>
    <t>Raquel Oliveira</t>
  </si>
  <si>
    <t>Designer Creators</t>
  </si>
  <si>
    <t>(=) Designer Creators</t>
  </si>
  <si>
    <t>Matheus Glendel de Azevedo</t>
  </si>
  <si>
    <t>Laura Gonzaga</t>
  </si>
  <si>
    <t>Gabriela Vasconcelos</t>
  </si>
  <si>
    <t>Social</t>
  </si>
  <si>
    <t>MRR Social</t>
  </si>
  <si>
    <t>Contratos Social</t>
  </si>
  <si>
    <t>Analista de Social</t>
  </si>
  <si>
    <t>(=) Analista de Social</t>
  </si>
  <si>
    <t>Julia Manhaes</t>
  </si>
  <si>
    <t>Livia Oliveira</t>
  </si>
  <si>
    <t>Maria Alice</t>
  </si>
  <si>
    <t>Victor Klein</t>
  </si>
  <si>
    <t>Fernada Almeida</t>
  </si>
  <si>
    <t>Brenda Federici</t>
  </si>
  <si>
    <t>Novo - Contratar - Estagiária</t>
  </si>
  <si>
    <t>Designer Social</t>
  </si>
  <si>
    <t>(=) Designer Social</t>
  </si>
  <si>
    <t>Francisco Lopes</t>
  </si>
  <si>
    <t>Gabriela Teixeira</t>
  </si>
  <si>
    <t>Pietro Rutigliano Júnior</t>
  </si>
  <si>
    <t>Milena Gomes</t>
  </si>
  <si>
    <t>Lara</t>
  </si>
  <si>
    <t>Gestão de Comunidade</t>
  </si>
  <si>
    <t>MRR Gestão de Comunidade</t>
  </si>
  <si>
    <t>Contratos Gestão de Comunidade</t>
  </si>
  <si>
    <t>Gestor de Comunidade</t>
  </si>
  <si>
    <t>(=) Gestor de Comunidade</t>
  </si>
  <si>
    <t>Others</t>
  </si>
  <si>
    <t>MRR Others</t>
  </si>
  <si>
    <t>Contratos Others</t>
  </si>
  <si>
    <t>Contas por Operador</t>
  </si>
  <si>
    <t>MRR por ?</t>
  </si>
  <si>
    <t>Gestor de Others</t>
  </si>
  <si>
    <t>(=) Gestor de Others</t>
  </si>
  <si>
    <t>CXCS</t>
  </si>
  <si>
    <t>Contratos Totais</t>
  </si>
  <si>
    <t>CXCS Necessários</t>
  </si>
  <si>
    <t>CXCS Atuais</t>
  </si>
  <si>
    <t>Contratos por CXCS</t>
  </si>
  <si>
    <t>(=) CXCS</t>
  </si>
  <si>
    <t>(-) Maria Midyan</t>
  </si>
  <si>
    <t>(-) Aline Carvalho</t>
  </si>
  <si>
    <t>(-) Kamila Marins</t>
  </si>
  <si>
    <t>(-) Lucas Emanoel</t>
  </si>
  <si>
    <t>Líderes</t>
  </si>
  <si>
    <t>Operadores Totais</t>
  </si>
  <si>
    <t>Operadores por líder</t>
  </si>
  <si>
    <t>Líderes necessários</t>
  </si>
  <si>
    <t>Líderes a contratar</t>
  </si>
  <si>
    <t>(=) Líderes</t>
  </si>
  <si>
    <t>(-) Pedro Paulo</t>
  </si>
  <si>
    <t>(-) Rodrigo Padrão</t>
  </si>
  <si>
    <t>(-) Glauber Pereira</t>
  </si>
  <si>
    <t>(-) Rafael Vilela</t>
  </si>
  <si>
    <t>(-) Roberto Fachetti</t>
  </si>
  <si>
    <t>(-) Ismael</t>
  </si>
  <si>
    <t>Tech</t>
  </si>
  <si>
    <t>Pessoas totais</t>
  </si>
  <si>
    <t>Estoque atual</t>
  </si>
  <si>
    <t>Vendas 2026</t>
  </si>
  <si>
    <t>Venda Dez</t>
  </si>
  <si>
    <t>Entrega Dez</t>
  </si>
  <si>
    <t>Valor Projetos entregues</t>
  </si>
  <si>
    <t>Número de Projetos</t>
  </si>
  <si>
    <t>Margem de contribuição</t>
  </si>
  <si>
    <t>CSV Tech</t>
  </si>
  <si>
    <t>(=) Tech</t>
  </si>
  <si>
    <t xml:space="preserve">Breno Carmo </t>
  </si>
  <si>
    <t>Vinicius</t>
  </si>
  <si>
    <t>Hiuri Carrico</t>
  </si>
  <si>
    <t>Bibiana Chaves</t>
  </si>
  <si>
    <t>Thiago Kenzo</t>
  </si>
  <si>
    <t>Andre Seder</t>
  </si>
  <si>
    <t>Helama</t>
  </si>
  <si>
    <t>Davi Ferraz</t>
  </si>
  <si>
    <t>Matheus Pin</t>
  </si>
  <si>
    <t>Daiani Silva Vieira</t>
  </si>
  <si>
    <t>Wendeson Eduardo Diniz</t>
  </si>
  <si>
    <t>Matheus Dev</t>
  </si>
  <si>
    <t>Gabriel Marinho Dev</t>
  </si>
  <si>
    <t>Novo - Contratar (Dev)</t>
  </si>
  <si>
    <t>Novo - Contratar (UIUX)</t>
  </si>
  <si>
    <t>Mão de Obra Terceirizada</t>
  </si>
  <si>
    <t>(=) Mão de Obra Tercerizada</t>
  </si>
  <si>
    <t>Freelancers Projetos Tech</t>
  </si>
  <si>
    <t>Freelancers Design</t>
  </si>
  <si>
    <t>Freelancers Creators</t>
  </si>
  <si>
    <t>(-) CSV</t>
  </si>
  <si>
    <t>(-) IR + CSLL</t>
  </si>
  <si>
    <t>Realizado Jan</t>
  </si>
  <si>
    <t>Realizado Fev</t>
  </si>
  <si>
    <t>Realizado Mar</t>
  </si>
  <si>
    <t>Realizado Abr</t>
  </si>
  <si>
    <t>Realizado Mai</t>
  </si>
  <si>
    <t>Realizado Jun</t>
  </si>
  <si>
    <t>Realizado Jul</t>
  </si>
  <si>
    <t>Realizado Ago</t>
  </si>
  <si>
    <t>Realizado Set</t>
  </si>
  <si>
    <t>Realizado Out</t>
  </si>
  <si>
    <t>Realizado Nov</t>
  </si>
  <si>
    <t>Realizado Dez</t>
  </si>
  <si>
    <t>CAC</t>
  </si>
  <si>
    <t>Aquisition Recorrente</t>
  </si>
  <si>
    <t>Meta  Vendas Novas MRR</t>
  </si>
  <si>
    <t>(=) CAC</t>
  </si>
  <si>
    <t>Meta Monetizacao MRR</t>
  </si>
  <si>
    <t>(-) Pré Vendas</t>
  </si>
  <si>
    <t>Meta de Vendas Totais MRR</t>
  </si>
  <si>
    <t>(-) Vendas</t>
  </si>
  <si>
    <t>% Performance</t>
  </si>
  <si>
    <t>(-) Gerencia</t>
  </si>
  <si>
    <t>(-) Comissões</t>
  </si>
  <si>
    <t>AOV Performance</t>
  </si>
  <si>
    <t>(-) Growth</t>
  </si>
  <si>
    <t>(-) ADs</t>
  </si>
  <si>
    <t>(-) Eventos</t>
  </si>
  <si>
    <t>% Creators</t>
  </si>
  <si>
    <t>(-) Brindes</t>
  </si>
  <si>
    <t>(-) Viagens</t>
  </si>
  <si>
    <t>AOV Creators</t>
  </si>
  <si>
    <t>PRÉ VENDAS</t>
  </si>
  <si>
    <t>% Social</t>
  </si>
  <si>
    <t>(=) Pré Vendas</t>
  </si>
  <si>
    <t>AOV Social</t>
  </si>
  <si>
    <t>Guilherme Cassemiro</t>
  </si>
  <si>
    <t>Lenize Pretti</t>
  </si>
  <si>
    <t>Eduarda Grippa</t>
  </si>
  <si>
    <t>% Gestão de Comunidade</t>
  </si>
  <si>
    <t>Kaike</t>
  </si>
  <si>
    <t>Isabella</t>
  </si>
  <si>
    <t>AOV Gestão de Comunidade</t>
  </si>
  <si>
    <t>Fabiely</t>
  </si>
  <si>
    <t>Pedro Teodoro</t>
  </si>
  <si>
    <t>Joao Pedro</t>
  </si>
  <si>
    <t>% Others</t>
  </si>
  <si>
    <t>AOV Others</t>
  </si>
  <si>
    <t>Aquisition Pontual</t>
  </si>
  <si>
    <t>Meta de Vendas Novas Pontual</t>
  </si>
  <si>
    <t>Monetizacao Base Pontual</t>
  </si>
  <si>
    <t>Meta de Vendas Totais Pontual</t>
  </si>
  <si>
    <t>% E-commerce</t>
  </si>
  <si>
    <t>Pontual e-commerce</t>
  </si>
  <si>
    <t>AOV E-commerce</t>
  </si>
  <si>
    <t>Contratos E-commerce</t>
  </si>
  <si>
    <t>(=) Vendas</t>
  </si>
  <si>
    <t>Arthur Zon</t>
  </si>
  <si>
    <t>% Site Institucional</t>
  </si>
  <si>
    <t>Daniel Pato</t>
  </si>
  <si>
    <t>Pontual Site</t>
  </si>
  <si>
    <t>Matheus Scalfoni</t>
  </si>
  <si>
    <t>AOV Site</t>
  </si>
  <si>
    <t>Yan Roldi</t>
  </si>
  <si>
    <t>Contratos Site</t>
  </si>
  <si>
    <t>Fabio Richard</t>
  </si>
  <si>
    <t>Ramon</t>
  </si>
  <si>
    <t>% Landing Page</t>
  </si>
  <si>
    <t>Pontual Landing Page</t>
  </si>
  <si>
    <t>AOV Landing Page</t>
  </si>
  <si>
    <t>Contratos Landing Page</t>
  </si>
  <si>
    <t>Pontual Creators</t>
  </si>
  <si>
    <t>% CRM</t>
  </si>
  <si>
    <t>Pontual CRM</t>
  </si>
  <si>
    <t>AOV CRM</t>
  </si>
  <si>
    <t>Gerencia Vendas</t>
  </si>
  <si>
    <t>Contratos CRM</t>
  </si>
  <si>
    <t>(=) Gerencia</t>
  </si>
  <si>
    <t>Pontual Others</t>
  </si>
  <si>
    <t>João Guarçoni</t>
  </si>
  <si>
    <t>Lucas Pereira</t>
  </si>
  <si>
    <t>Novo - Contratar - Gestor growth?</t>
  </si>
  <si>
    <t>AOV Pontual</t>
  </si>
  <si>
    <t>AOV Recorrente</t>
  </si>
  <si>
    <t>Taxa de conversão</t>
  </si>
  <si>
    <t>Reuniões Necessárias</t>
  </si>
  <si>
    <t>Growth</t>
  </si>
  <si>
    <t>Reuniões por pré vendedor</t>
  </si>
  <si>
    <t>Reuniões por vendedor</t>
  </si>
  <si>
    <t>MRR Vendido por vendedor</t>
  </si>
  <si>
    <t>(=) Growth</t>
  </si>
  <si>
    <t>Pontual Vendido por vendedor</t>
  </si>
  <si>
    <t>Vinicius Ichinosek</t>
  </si>
  <si>
    <t>Esther Fiorio</t>
  </si>
  <si>
    <t>Matheus Oliveira</t>
  </si>
  <si>
    <t>Amanda Lovise</t>
  </si>
  <si>
    <t>Caio</t>
  </si>
  <si>
    <t>Novo - Contratar (Substituir)</t>
  </si>
  <si>
    <t>Emerson</t>
  </si>
  <si>
    <t>Novo - Contratar - Webdesigner</t>
  </si>
  <si>
    <t>Novo - Contratar (Social Media Socios)</t>
  </si>
  <si>
    <t>Receita Recorrente</t>
  </si>
  <si>
    <t>Bookado</t>
  </si>
  <si>
    <t>MRR Ativo</t>
  </si>
  <si>
    <t>Churn</t>
  </si>
  <si>
    <t>Churn Performance</t>
  </si>
  <si>
    <t>Churn Creators</t>
  </si>
  <si>
    <t>Churn Social</t>
  </si>
  <si>
    <t>Churn Gestão de Comunidade</t>
  </si>
  <si>
    <t>Churn Others</t>
  </si>
  <si>
    <t>Churn Total</t>
  </si>
  <si>
    <t>Receita Pontual</t>
  </si>
  <si>
    <t>CAPEX</t>
  </si>
  <si>
    <t xml:space="preserve">(=) CAPEX </t>
  </si>
  <si>
    <t>(=) Colaboradores totais</t>
  </si>
  <si>
    <t>(=) Computadores totais</t>
  </si>
  <si>
    <t>(=) Computadores a comprar</t>
  </si>
  <si>
    <t>(-) Computadores comprados mês</t>
  </si>
  <si>
    <t>% NF Emitida</t>
  </si>
  <si>
    <t>Simples Nacional</t>
  </si>
  <si>
    <t>ISS</t>
  </si>
  <si>
    <t>Receita NF</t>
  </si>
  <si>
    <t>PIS/COFINS</t>
  </si>
  <si>
    <t>Receita Bruta Peixoto</t>
  </si>
  <si>
    <t>CSLL + IRPJ</t>
  </si>
  <si>
    <t>(=) Receita Liquida Peixoto</t>
  </si>
  <si>
    <t>Receita Bruta Turbo Partners</t>
  </si>
  <si>
    <t>(=) Receita Liquida Turbo</t>
  </si>
  <si>
    <t>(-) Simples Nacional</t>
  </si>
  <si>
    <t>(-) ISS</t>
  </si>
  <si>
    <t>(-) PIS/COFINS</t>
  </si>
  <si>
    <t>(-) CSLL + IRPJ</t>
  </si>
  <si>
    <t>Alíquota Efetiva</t>
  </si>
  <si>
    <t>Turbo Partners LTDA</t>
  </si>
  <si>
    <t>Peixoto Debanne</t>
  </si>
  <si>
    <t>Número de Telas</t>
  </si>
  <si>
    <t>AOV por Slot</t>
  </si>
  <si>
    <t>Ocupacao</t>
  </si>
  <si>
    <t>Receita Bruta</t>
  </si>
  <si>
    <t>(-) Impostos</t>
  </si>
  <si>
    <t>(-) ADMooh</t>
  </si>
  <si>
    <t>(=) Lucro Bruto</t>
  </si>
  <si>
    <t>(-) Equipe</t>
  </si>
  <si>
    <t>(=) Resultado</t>
  </si>
  <si>
    <t>Tela Totais</t>
  </si>
  <si>
    <t>Anuncios Totais</t>
  </si>
  <si>
    <t>Locais Totais</t>
  </si>
  <si>
    <t>AOV Local</t>
  </si>
  <si>
    <t>Clientes Totais</t>
  </si>
  <si>
    <t>Edifício</t>
  </si>
  <si>
    <t>Telas</t>
  </si>
  <si>
    <t>Valor</t>
  </si>
  <si>
    <t>Valor por Tela</t>
  </si>
  <si>
    <t>APEX Empresarial</t>
  </si>
  <si>
    <t>Edifício Churchill</t>
  </si>
  <si>
    <t xml:space="preserve">Escritório Turbo </t>
  </si>
  <si>
    <t>Residencial Jardins</t>
  </si>
  <si>
    <t>Vértice Empresarial</t>
  </si>
  <si>
    <t>Signature</t>
  </si>
  <si>
    <t>Média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</si>
  <si>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</si>
  <si>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</si>
  <si>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</si>
  <si>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</si>
  <si>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</si>
  <si>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</si>
  <si>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</si>
  <si>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</si>
  <si>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</si>
  <si>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</si>
  <si>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 Variavel</t>
  </si>
  <si>
    <t>DR Rafael</t>
  </si>
  <si>
    <t>Mentoria</t>
  </si>
  <si>
    <t>Infoproduto Turbo</t>
  </si>
  <si>
    <t>Stack Digital</t>
  </si>
  <si>
    <t>Tools</t>
  </si>
  <si>
    <t>Estruturação Estrategica</t>
  </si>
  <si>
    <t>Estruturação Comercial</t>
  </si>
  <si>
    <t>CMO AS A SERVICE</t>
  </si>
  <si>
    <t>SAAS</t>
  </si>
  <si>
    <t>Turbooh</t>
  </si>
  <si>
    <t>Ventures</t>
  </si>
  <si>
    <t>TOTAL</t>
  </si>
  <si>
    <t>EVENTOS</t>
  </si>
  <si>
    <t>(=) Custo</t>
  </si>
  <si>
    <t>Turbo One</t>
  </si>
  <si>
    <t>- Aluguel do Espaço</t>
  </si>
  <si>
    <t>- Buffet</t>
  </si>
  <si>
    <t>- Bebidas</t>
  </si>
  <si>
    <t>- Audiovisual</t>
  </si>
  <si>
    <t>- Palestrante</t>
  </si>
  <si>
    <t>- Papelaria</t>
  </si>
  <si>
    <t>- Brindes</t>
  </si>
  <si>
    <t>- Midia/divulgação</t>
  </si>
  <si>
    <t>Expositor</t>
  </si>
  <si>
    <t>- Quantas pessoas vão?</t>
  </si>
  <si>
    <t xml:space="preserve">- Quantos dias? </t>
  </si>
  <si>
    <t>- Hospedagem</t>
  </si>
  <si>
    <t>- Passagem</t>
  </si>
  <si>
    <t>- Ingresso</t>
  </si>
  <si>
    <t>- Locomoção</t>
  </si>
  <si>
    <t>- Stand</t>
  </si>
  <si>
    <t>E-commerce BR (Expositor)</t>
  </si>
  <si>
    <t>- Plotagem Stand</t>
  </si>
  <si>
    <t>- Chopeira</t>
  </si>
  <si>
    <t>- Petiscos</t>
  </si>
  <si>
    <t>- Brindes/Ativações</t>
  </si>
  <si>
    <t xml:space="preserve">- After? </t>
  </si>
  <si>
    <t>Participante</t>
  </si>
  <si>
    <t>Turbo Day</t>
  </si>
  <si>
    <t>- Bebida</t>
  </si>
  <si>
    <t>- Palestrantes</t>
  </si>
  <si>
    <t>- Ativação/sorteio</t>
  </si>
  <si>
    <t>Workshop</t>
  </si>
  <si>
    <t>Patrocínio</t>
  </si>
  <si>
    <t>4x</t>
  </si>
  <si>
    <t>coco bambu</t>
  </si>
  <si>
    <t>1x</t>
  </si>
  <si>
    <t>BIG EVENT</t>
  </si>
  <si>
    <t>2x</t>
  </si>
  <si>
    <t>ecom brasil e naturaltech</t>
  </si>
  <si>
    <t>Patrocinio</t>
  </si>
  <si>
    <t>focar em pegar o master</t>
  </si>
  <si>
    <t>3x</t>
  </si>
  <si>
    <t>mandar vendedor pra evento</t>
  </si>
  <si>
    <t>5k por evento</t>
  </si>
  <si>
    <t>1 a cada 2 meses</t>
  </si>
  <si>
    <t>Ecommerce Brasil</t>
  </si>
  <si>
    <t>Creator Summit</t>
  </si>
  <si>
    <t>Natural Tech</t>
  </si>
  <si>
    <t>Influencer Summit</t>
  </si>
  <si>
    <t>Arnold</t>
  </si>
  <si>
    <t>45k</t>
  </si>
  <si>
    <t>Permuta</t>
  </si>
  <si>
    <t>Eventos Internos Turbo</t>
  </si>
  <si>
    <t>Zoppy</t>
  </si>
  <si>
    <t>20k</t>
  </si>
  <si>
    <t>Eventos no ES</t>
  </si>
  <si>
    <t>CMO Summit</t>
  </si>
  <si>
    <t>Designer de Performance</t>
  </si>
  <si>
    <t>Analista de Comunicação</t>
  </si>
  <si>
    <t>Líderes Commerce</t>
  </si>
  <si>
    <t xml:space="preserve">Tech </t>
  </si>
  <si>
    <t>Pré-Vendas</t>
  </si>
  <si>
    <t>Lideres Venda</t>
  </si>
  <si>
    <t>Analista</t>
  </si>
  <si>
    <t>Designer</t>
  </si>
  <si>
    <t>Turbo Vision</t>
  </si>
  <si>
    <t>Brinde Natal</t>
  </si>
  <si>
    <t>Lideres commerce</t>
  </si>
  <si>
    <t>Turbo Fit</t>
  </si>
  <si>
    <t>Turbo Moviments</t>
  </si>
  <si>
    <t>Aniversario de Empresa</t>
  </si>
  <si>
    <t>Pre vendas</t>
  </si>
  <si>
    <t>Aniversario do Colaborador</t>
  </si>
  <si>
    <t>Lideres venda</t>
  </si>
  <si>
    <t>Uniforme Polo</t>
  </si>
  <si>
    <t>Kit Onboarding</t>
  </si>
  <si>
    <t>Camisa Fit</t>
  </si>
  <si>
    <t>Bootcamp + Aquisição de Talentos</t>
  </si>
  <si>
    <t>Outros Eventos Time interno</t>
  </si>
  <si>
    <t>Lanches + Café da Manha</t>
  </si>
  <si>
    <t>Eventos Tematicos</t>
  </si>
  <si>
    <t>Lojinha e Brindes</t>
  </si>
  <si>
    <t>Presencial</t>
  </si>
  <si>
    <t>Remota</t>
  </si>
  <si>
    <t>Garrafa</t>
  </si>
  <si>
    <t>❌</t>
  </si>
  <si>
    <t>Blusa Normal</t>
  </si>
  <si>
    <t>Mochila</t>
  </si>
  <si>
    <t>Perifericos (Mouse, Dongle, Monitor)</t>
  </si>
  <si>
    <t>✅</t>
  </si>
  <si>
    <t>Notebook e Carregador</t>
  </si>
  <si>
    <t>Lojinha colaborador</t>
  </si>
  <si>
    <t>Guarda Sol</t>
  </si>
  <si>
    <t>Palestras externas de G&amp;G</t>
  </si>
  <si>
    <t>Cadeira de Praia</t>
  </si>
  <si>
    <t>Ambiente de escritorio (Visual)</t>
  </si>
  <si>
    <t>Dinamicas escritorio</t>
  </si>
  <si>
    <t>Camisa descontraida</t>
  </si>
  <si>
    <t>Partners Club</t>
  </si>
  <si>
    <t>Camisa Turbo</t>
  </si>
  <si>
    <t>Brindes colaboradores</t>
  </si>
  <si>
    <t>Bone Corrida</t>
  </si>
  <si>
    <t>Bone Normal</t>
  </si>
  <si>
    <t>Pontuação gameficado</t>
  </si>
  <si>
    <t xml:space="preserve">para clientes </t>
  </si>
  <si>
    <t>para colaboradores</t>
  </si>
  <si>
    <t>Moleton Turbo</t>
  </si>
  <si>
    <t>Moleton Descontraido</t>
  </si>
  <si>
    <t>Squeeze</t>
  </si>
  <si>
    <t>Garrafa termica</t>
  </si>
  <si>
    <t>Copo Termico</t>
  </si>
  <si>
    <t>Ecobag / Bolsa de tecido</t>
  </si>
  <si>
    <t>Lancheira/Bolsa termica</t>
  </si>
  <si>
    <t>Café</t>
  </si>
  <si>
    <t>Cartela de adesivos</t>
  </si>
  <si>
    <t>Toalha de Praia “grossa”</t>
  </si>
  <si>
    <t>Toalha fina (Modelo decatlhon)</t>
  </si>
  <si>
    <t>Corta Vento</t>
  </si>
  <si>
    <t>Cooler lata</t>
  </si>
  <si>
    <t>•⁠  ⁠Regras para ganho de valor no PLR;</t>
  </si>
  <si>
    <t>•⁠  ⁠KPIs para recebimento de pequenos incentivos</t>
  </si>
  <si>
    <t>•⁠  ⁠Quais os reconhecimentos que vamos validar trimestralmente?</t>
  </si>
  <si>
    <t>março</t>
  </si>
  <si>
    <t>Ticket Médio</t>
  </si>
  <si>
    <t>Contratos</t>
  </si>
  <si>
    <t xml:space="preserve"> Performance</t>
  </si>
  <si>
    <t xml:space="preserve"> Creators</t>
  </si>
  <si>
    <t xml:space="preserve"> Social Media</t>
  </si>
  <si>
    <t xml:space="preserve"> Gestão de Comunidade</t>
  </si>
  <si>
    <t xml:space="preserve"> E-mail Marketing</t>
  </si>
  <si>
    <t xml:space="preserve"> Tech/CRM/outros</t>
  </si>
  <si>
    <t>Meta de Vendas MRR</t>
  </si>
  <si>
    <t xml:space="preserve"> Tech/CRM</t>
  </si>
  <si>
    <t>Operadores</t>
  </si>
  <si>
    <t xml:space="preserve"> Designer Performance</t>
  </si>
  <si>
    <t xml:space="preserve"> Designer Creator</t>
  </si>
  <si>
    <t xml:space="preserve"> Designer SM</t>
  </si>
  <si>
    <t xml:space="preserve"> Designer E-mail Marketing</t>
  </si>
  <si>
    <t xml:space="preserve"> CX</t>
  </si>
  <si>
    <t xml:space="preserve"> Líder</t>
  </si>
  <si>
    <t>Salário</t>
  </si>
  <si>
    <t>Caju</t>
  </si>
  <si>
    <t>Recorrente</t>
  </si>
  <si>
    <t>Task Name</t>
  </si>
  <si>
    <t>Qtd Recorrente</t>
  </si>
  <si>
    <t>Social Media</t>
  </si>
  <si>
    <t>E-mail Marketing</t>
  </si>
  <si>
    <t>Sustentação</t>
  </si>
  <si>
    <t>Account Manager</t>
  </si>
  <si>
    <t>Blog Post</t>
  </si>
  <si>
    <t>Agente AI</t>
  </si>
  <si>
    <t>CRM</t>
  </si>
  <si>
    <t>Automação</t>
  </si>
  <si>
    <t>Total geral</t>
  </si>
  <si>
    <t>Crescimento</t>
  </si>
  <si>
    <t>TM</t>
  </si>
  <si>
    <t>% Aquisição</t>
  </si>
  <si>
    <t>CPO</t>
  </si>
  <si>
    <t>Faturamento Esperado</t>
  </si>
  <si>
    <t>CX</t>
  </si>
  <si>
    <t>Líder</t>
  </si>
  <si>
    <t>Conta</t>
  </si>
  <si>
    <t>Designer SM</t>
  </si>
  <si>
    <t>Designer Creator</t>
  </si>
  <si>
    <t>Designer E-mail</t>
  </si>
  <si>
    <t>COP</t>
  </si>
  <si>
    <t>Imposto</t>
  </si>
  <si>
    <t>Inadimplencia</t>
  </si>
  <si>
    <t>SG&amp;A</t>
  </si>
  <si>
    <t>Clientes Gazeta -&gt; Turbo</t>
  </si>
  <si>
    <t>Clientes</t>
  </si>
  <si>
    <t>Faturamento Turbo</t>
  </si>
  <si>
    <t>Rebate Tools</t>
  </si>
  <si>
    <t>Receita Rebate Anuncio TV outras redes</t>
  </si>
  <si>
    <t>Investimento em outras emissoras</t>
  </si>
  <si>
    <t>Rebate Turbo</t>
  </si>
  <si>
    <t>Clientes Turbo -&gt; Gazeta</t>
  </si>
  <si>
    <t>Novos Produtos - JV</t>
  </si>
  <si>
    <t xml:space="preserve">Pensar como geramos o valor para Gazeta </t>
  </si>
  <si>
    <t xml:space="preserve">Fechar o meio de pagamento do Fonte </t>
  </si>
  <si>
    <t>aporte</t>
  </si>
  <si>
    <t>Influencers</t>
  </si>
  <si>
    <t>Lancamento 30 SaaS</t>
  </si>
  <si>
    <t>Desenhar o quanto a Turbo consegue trazer de receita</t>
  </si>
  <si>
    <t>Como a Gazeta vender Turbo</t>
  </si>
  <si>
    <t>Ganhar rebate Google e Meta</t>
  </si>
  <si>
    <t>Hi</t>
  </si>
  <si>
    <t>Margem / Saldo</t>
  </si>
  <si>
    <t>Receita</t>
  </si>
  <si>
    <t>Depesa Mensal Dez</t>
  </si>
  <si>
    <t>Geracao de Caixa</t>
  </si>
  <si>
    <t>Margem Caixa (%)</t>
  </si>
  <si>
    <t>Crescimento Receita</t>
  </si>
  <si>
    <t>Cenário 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</si>
</sst>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 -416]#,##0.00"/>
    <numFmt numFmtId="166" formatCode="0.0"/>
    <numFmt numFmtId="167" formatCode="[$R$ -416]#,##0.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rgb="FFFFFFFF"/>
      <name val="Arial"/>
      <scheme val="minor"/>
    </font>
    <font/>
    <font>
      <b/>
      <color theme="1"/>
      <name val="Arial"/>
    </font>
    <font>
      <b/>
      <color rgb="FFFFFFFF"/>
      <name val="Arial"/>
      <scheme val="minor"/>
    </font>
    <font>
      <color rgb="FFFF0000"/>
      <name val="Arial"/>
      <scheme val="minor"/>
    </font>
    <font>
      <b/>
      <color rgb="FFFFFFFF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Arial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2F5F7"/>
        <bgColor rgb="FFF2F5F7"/>
      </patternFill>
    </fill>
    <fill>
      <patternFill patternType="solid">
        <fgColor rgb="FFC9DAF8"/>
        <bgColor rgb="FFC9DAF8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bottom style="thick">
        <color rgb="FF6883A4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9" xfId="0" applyAlignment="1" applyFont="1" applyNumberFormat="1">
      <alignment horizontal="center" readingOrder="0" vertical="bottom"/>
    </xf>
    <xf borderId="0" fillId="0" fontId="4" numFmtId="10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9" xfId="0" applyAlignment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4" fillId="2" fontId="8" numFmtId="0" xfId="0" applyAlignment="1" applyBorder="1" applyFont="1">
      <alignment readingOrder="0"/>
    </xf>
    <xf borderId="1" fillId="2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2" numFmtId="9" xfId="0" applyAlignment="1" applyBorder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0" fontId="2" numFmtId="164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/>
    </xf>
    <xf borderId="4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4" fillId="0" fontId="1" numFmtId="10" xfId="0" applyAlignment="1" applyBorder="1" applyFont="1" applyNumberFormat="1">
      <alignment horizontal="center"/>
    </xf>
    <xf borderId="0" fillId="0" fontId="2" numFmtId="10" xfId="0" applyFont="1" applyNumberFormat="1"/>
    <xf borderId="4" fillId="0" fontId="2" numFmtId="3" xfId="0" applyAlignment="1" applyBorder="1" applyFont="1" applyNumberFormat="1">
      <alignment horizontal="center" readingOrder="0"/>
    </xf>
    <xf borderId="0" fillId="0" fontId="2" numFmtId="9" xfId="0" applyAlignment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/>
    </xf>
    <xf borderId="4" fillId="0" fontId="1" numFmtId="0" xfId="0" applyBorder="1" applyFont="1"/>
    <xf borderId="4" fillId="0" fontId="2" numFmtId="2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/>
    </xf>
    <xf borderId="4" fillId="4" fontId="2" numFmtId="0" xfId="0" applyAlignment="1" applyBorder="1" applyFill="1" applyFont="1">
      <alignment readingOrder="0"/>
    </xf>
    <xf borderId="4" fillId="4" fontId="2" numFmtId="164" xfId="0" applyAlignment="1" applyBorder="1" applyFont="1" applyNumberFormat="1">
      <alignment horizontal="center"/>
    </xf>
    <xf borderId="4" fillId="5" fontId="2" numFmtId="0" xfId="0" applyAlignment="1" applyBorder="1" applyFill="1" applyFont="1">
      <alignment readingOrder="0"/>
    </xf>
    <xf borderId="4" fillId="5" fontId="2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readingOrder="0" vertical="bottom"/>
    </xf>
    <xf borderId="4" fillId="0" fontId="2" numFmtId="0" xfId="0" applyBorder="1" applyFont="1"/>
    <xf borderId="4" fillId="0" fontId="2" numFmtId="165" xfId="0" applyAlignment="1" applyBorder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4" fillId="5" fontId="2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center" vertical="bottom"/>
    </xf>
    <xf borderId="4" fillId="5" fontId="4" numFmtId="164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horizontal="center" readingOrder="0" vertical="bottom"/>
    </xf>
    <xf borderId="4" fillId="0" fontId="4" numFmtId="0" xfId="0" applyBorder="1" applyFont="1"/>
    <xf borderId="4" fillId="0" fontId="4" numFmtId="164" xfId="0" applyAlignment="1" applyBorder="1" applyFont="1" applyNumberFormat="1">
      <alignment vertical="bottom"/>
    </xf>
    <xf borderId="4" fillId="0" fontId="2" numFmtId="0" xfId="0" applyBorder="1" applyFont="1"/>
    <xf borderId="4" fillId="0" fontId="2" numFmtId="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vertical="bottom"/>
    </xf>
    <xf borderId="4" fillId="0" fontId="4" numFmtId="165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readingOrder="0" vertical="bottom"/>
    </xf>
    <xf borderId="1" fillId="7" fontId="1" numFmtId="0" xfId="0" applyAlignment="1" applyBorder="1" applyFill="1" applyFont="1">
      <alignment horizontal="center" readingOrder="0"/>
    </xf>
    <xf borderId="4" fillId="0" fontId="1" numFmtId="165" xfId="0" applyBorder="1" applyFont="1" applyNumberFormat="1"/>
    <xf borderId="4" fillId="0" fontId="4" numFmtId="165" xfId="0" applyBorder="1" applyFont="1" applyNumberFormat="1"/>
    <xf borderId="4" fillId="0" fontId="2" numFmtId="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readingOrder="0"/>
    </xf>
    <xf borderId="4" fillId="0" fontId="7" numFmtId="164" xfId="0" applyAlignment="1" applyBorder="1" applyFont="1" applyNumberFormat="1">
      <alignment horizontal="center" readingOrder="0" vertical="bottom"/>
    </xf>
    <xf borderId="4" fillId="0" fontId="9" numFmtId="0" xfId="0" applyAlignment="1" applyBorder="1" applyFont="1">
      <alignment readingOrder="0"/>
    </xf>
    <xf borderId="1" fillId="6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0" fontId="2" numFmtId="9" xfId="0" applyAlignment="1" applyFont="1" applyNumberFormat="1">
      <alignment readingOrder="0"/>
    </xf>
    <xf borderId="4" fillId="2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4" fillId="8" fontId="2" numFmtId="164" xfId="0" applyAlignment="1" applyBorder="1" applyFont="1" applyNumberFormat="1">
      <alignment horizontal="center" readingOrder="0"/>
    </xf>
    <xf borderId="4" fillId="8" fontId="2" numFmtId="164" xfId="0" applyAlignment="1" applyBorder="1" applyFont="1" applyNumberFormat="1">
      <alignment horizontal="center"/>
    </xf>
    <xf borderId="4" fillId="8" fontId="1" numFmtId="164" xfId="0" applyAlignment="1" applyBorder="1" applyFont="1" applyNumberFormat="1">
      <alignment horizontal="center"/>
    </xf>
    <xf borderId="4" fillId="8" fontId="1" numFmtId="164" xfId="0" applyAlignment="1" applyBorder="1" applyFont="1" applyNumberFormat="1">
      <alignment horizontal="center" readingOrder="0"/>
    </xf>
    <xf borderId="4" fillId="8" fontId="2" numFmtId="10" xfId="0" applyAlignment="1" applyBorder="1" applyFont="1" applyNumberFormat="1">
      <alignment horizontal="center"/>
    </xf>
    <xf borderId="4" fillId="8" fontId="2" numFmtId="0" xfId="0" applyAlignment="1" applyBorder="1" applyFont="1">
      <alignment horizontal="center"/>
    </xf>
    <xf borderId="4" fillId="8" fontId="2" numFmtId="3" xfId="0" applyAlignment="1" applyBorder="1" applyFont="1" applyNumberFormat="1">
      <alignment horizontal="center" readingOrder="0"/>
    </xf>
    <xf borderId="4" fillId="8" fontId="2" numFmtId="0" xfId="0" applyAlignment="1" applyBorder="1" applyFont="1">
      <alignment horizontal="center" readingOrder="0"/>
    </xf>
    <xf borderId="4" fillId="8" fontId="2" numFmtId="1" xfId="0" applyAlignment="1" applyBorder="1" applyFont="1" applyNumberFormat="1">
      <alignment horizontal="center"/>
    </xf>
    <xf borderId="4" fillId="8" fontId="2" numFmtId="3" xfId="0" applyAlignment="1" applyBorder="1" applyFont="1" applyNumberFormat="1">
      <alignment horizontal="center"/>
    </xf>
    <xf borderId="4" fillId="8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0" xfId="0" applyFont="1"/>
    <xf borderId="0" fillId="0" fontId="2" numFmtId="2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1" fillId="2" fontId="10" numFmtId="0" xfId="0" applyAlignment="1" applyBorder="1" applyFont="1">
      <alignment horizontal="center" readingOrder="0" vertical="bottom"/>
    </xf>
    <xf borderId="4" fillId="5" fontId="4" numFmtId="164" xfId="0" applyAlignment="1" applyBorder="1" applyFont="1" applyNumberFormat="1">
      <alignment horizontal="center" readingOrder="0" vertical="bottom"/>
    </xf>
    <xf borderId="4" fillId="6" fontId="1" numFmtId="0" xfId="0" applyAlignment="1" applyBorder="1" applyFont="1">
      <alignment readingOrder="0"/>
    </xf>
    <xf borderId="4" fillId="6" fontId="2" numFmtId="164" xfId="0" applyAlignment="1" applyBorder="1" applyFont="1" applyNumberFormat="1">
      <alignment horizontal="center" readingOrder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readingOrder="0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3" xfId="0" applyAlignment="1" applyBorder="1" applyFont="1" applyNumberFormat="1">
      <alignment vertical="bottom"/>
    </xf>
    <xf borderId="4" fillId="0" fontId="2" numFmtId="10" xfId="0" applyAlignment="1" applyBorder="1" applyFont="1" applyNumberForma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1" fillId="5" fontId="7" numFmtId="0" xfId="0" applyAlignment="1" applyBorder="1" applyFont="1">
      <alignment horizontal="center" readingOrder="0" vertical="bottom"/>
    </xf>
    <xf borderId="4" fillId="0" fontId="1" numFmtId="165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left" readingOrder="0"/>
    </xf>
    <xf borderId="0" fillId="0" fontId="2" numFmtId="10" xfId="0" applyAlignment="1" applyFont="1" applyNumberFormat="1">
      <alignment readingOrder="0"/>
    </xf>
    <xf borderId="4" fillId="0" fontId="4" numFmtId="0" xfId="0" applyAlignment="1" applyBorder="1" applyFont="1">
      <alignment horizontal="center" readingOrder="0" vertical="bottom"/>
    </xf>
    <xf borderId="4" fillId="0" fontId="7" numFmtId="164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readingOrder="0" vertical="bottom"/>
    </xf>
    <xf borderId="4" fillId="0" fontId="4" numFmtId="3" xfId="0" applyAlignment="1" applyBorder="1" applyFont="1" applyNumberFormat="1">
      <alignment horizontal="center" vertical="bottom"/>
    </xf>
    <xf borderId="4" fillId="0" fontId="4" numFmtId="1" xfId="0" applyAlignment="1" applyBorder="1" applyFont="1" applyNumberFormat="1">
      <alignment horizontal="center" vertical="bottom"/>
    </xf>
    <xf borderId="4" fillId="0" fontId="2" numFmtId="164" xfId="0" applyBorder="1" applyFont="1" applyNumberFormat="1"/>
    <xf borderId="0" fillId="2" fontId="8" numFmtId="1" xfId="0" applyAlignment="1" applyFont="1" applyNumberFormat="1">
      <alignment readingOrder="0"/>
    </xf>
    <xf borderId="0" fillId="2" fontId="8" numFmtId="164" xfId="0" applyAlignment="1" applyFont="1" applyNumberFormat="1">
      <alignment horizontal="center" readingOrder="0"/>
    </xf>
    <xf borderId="0" fillId="2" fontId="8" numFmtId="164" xfId="0" applyAlignment="1" applyFont="1" applyNumberFormat="1">
      <alignment horizontal="center"/>
    </xf>
    <xf borderId="4" fillId="6" fontId="2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1" fillId="2" fontId="10" numFmtId="165" xfId="0" applyAlignment="1" applyBorder="1" applyFont="1" applyNumberFormat="1">
      <alignment horizontal="center" vertical="bottom"/>
    </xf>
    <xf borderId="4" fillId="0" fontId="7" numFmtId="165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horizontal="center" vertical="bottom"/>
    </xf>
    <xf borderId="4" fillId="0" fontId="7" numFmtId="165" xfId="0" applyAlignment="1" applyBorder="1" applyFont="1" applyNumberFormat="1">
      <alignment horizontal="center" vertical="bottom"/>
    </xf>
    <xf borderId="4" fillId="0" fontId="4" numFmtId="165" xfId="0" applyAlignment="1" applyBorder="1" applyFont="1" applyNumberFormat="1">
      <alignment horizontal="center" vertical="bottom"/>
    </xf>
    <xf borderId="4" fillId="9" fontId="7" numFmtId="165" xfId="0" applyAlignment="1" applyBorder="1" applyFill="1" applyFont="1" applyNumberFormat="1">
      <alignment vertical="bottom"/>
    </xf>
    <xf borderId="4" fillId="9" fontId="4" numFmtId="165" xfId="0" applyAlignment="1" applyBorder="1" applyFont="1" applyNumberFormat="1">
      <alignment vertical="bottom"/>
    </xf>
    <xf borderId="4" fillId="0" fontId="7" numFmtId="165" xfId="0" applyAlignment="1" applyBorder="1" applyFont="1" applyNumberFormat="1">
      <alignment horizontal="right" vertical="bottom"/>
    </xf>
    <xf borderId="4" fillId="9" fontId="4" numFmtId="165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4" fillId="9" fontId="7" numFmtId="165" xfId="0" applyAlignment="1" applyBorder="1" applyFont="1" applyNumberFormat="1">
      <alignment shrinkToFit="0" vertical="bottom" wrapText="0"/>
    </xf>
    <xf borderId="4" fillId="0" fontId="7" numFmtId="165" xfId="0" applyAlignment="1" applyBorder="1" applyFont="1" applyNumberFormat="1">
      <alignment horizontal="right" shrinkToFit="0" vertical="bottom" wrapText="0"/>
    </xf>
    <xf borderId="4" fillId="9" fontId="4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2" fontId="8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4" fillId="5" fontId="1" numFmtId="0" xfId="0" applyAlignment="1" applyBorder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horizontal="center"/>
    </xf>
    <xf borderId="0" fillId="2" fontId="8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10" fontId="11" numFmtId="0" xfId="0" applyAlignment="1" applyFill="1" applyFont="1">
      <alignment vertical="bottom"/>
    </xf>
    <xf borderId="0" fillId="9" fontId="7" numFmtId="164" xfId="0" applyAlignment="1" applyFont="1" applyNumberFormat="1">
      <alignment horizontal="center" vertical="bottom"/>
    </xf>
    <xf borderId="5" fillId="10" fontId="12" numFmtId="0" xfId="0" applyAlignment="1" applyBorder="1" applyFont="1">
      <alignment vertical="bottom"/>
    </xf>
    <xf borderId="0" fillId="0" fontId="13" numFmtId="164" xfId="0" applyAlignment="1" applyFont="1" applyNumberFormat="1">
      <alignment horizontal="center" vertical="bottom"/>
    </xf>
    <xf borderId="0" fillId="9" fontId="13" numFmtId="3" xfId="0" applyAlignment="1" applyFont="1" applyNumberFormat="1">
      <alignment horizontal="center" vertical="bottom"/>
    </xf>
    <xf borderId="0" fillId="9" fontId="13" numFmtId="164" xfId="0" applyAlignment="1" applyFont="1" applyNumberFormat="1">
      <alignment horizontal="center" vertical="bottom"/>
    </xf>
    <xf borderId="0" fillId="9" fontId="13" numFmtId="3" xfId="0" applyAlignment="1" applyFont="1" applyNumberFormat="1">
      <alignment horizontal="center" readingOrder="0" vertical="bottom"/>
    </xf>
    <xf borderId="0" fillId="9" fontId="13" numFmtId="164" xfId="0" applyAlignment="1" applyFont="1" applyNumberFormat="1">
      <alignment horizontal="center" readingOrder="0" vertical="bottom"/>
    </xf>
    <xf borderId="0" fillId="0" fontId="13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11" fontId="7" numFmtId="164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center" vertical="bottom"/>
    </xf>
    <xf borderId="0" fillId="0" fontId="13" numFmtId="1" xfId="0" applyAlignment="1" applyFont="1" applyNumberFormat="1">
      <alignment horizontal="center" vertical="bottom"/>
    </xf>
    <xf borderId="5" fillId="10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0" fillId="2" fontId="1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6" fillId="12" fontId="12" numFmtId="0" xfId="0" applyAlignment="1" applyBorder="1" applyFill="1" applyFont="1">
      <alignment vertical="bottom"/>
    </xf>
    <xf borderId="6" fillId="13" fontId="15" numFmtId="164" xfId="0" applyAlignment="1" applyBorder="1" applyFill="1" applyFont="1" applyNumberFormat="1">
      <alignment vertical="bottom"/>
    </xf>
    <xf borderId="6" fillId="13" fontId="15" numFmtId="3" xfId="0" applyAlignment="1" applyBorder="1" applyFont="1" applyNumberFormat="1">
      <alignment vertical="bottom"/>
    </xf>
    <xf borderId="6" fillId="13" fontId="15" numFmtId="164" xfId="0" applyAlignment="1" applyBorder="1" applyFont="1" applyNumberFormat="1">
      <alignment horizontal="right" vertical="bottom"/>
    </xf>
    <xf borderId="5" fillId="10" fontId="16" numFmtId="0" xfId="0" applyAlignment="1" applyBorder="1" applyFont="1">
      <alignment vertical="bottom"/>
    </xf>
    <xf borderId="0" fillId="5" fontId="16" numFmtId="164" xfId="0" applyAlignment="1" applyFont="1" applyNumberFormat="1">
      <alignment horizontal="center" vertical="bottom"/>
    </xf>
    <xf borderId="0" fillId="5" fontId="16" numFmtId="3" xfId="0" applyAlignment="1" applyFont="1" applyNumberFormat="1">
      <alignment horizontal="center" vertical="bottom"/>
    </xf>
    <xf borderId="0" fillId="0" fontId="4" numFmtId="9" xfId="0" applyAlignment="1" applyFont="1" applyNumberFormat="1">
      <alignment horizontal="center" vertical="bottom"/>
    </xf>
    <xf borderId="7" fillId="12" fontId="11" numFmtId="0" xfId="0" applyAlignment="1" applyBorder="1" applyFont="1">
      <alignment vertical="bottom"/>
    </xf>
    <xf borderId="7" fillId="12" fontId="11" numFmtId="164" xfId="0" applyAlignment="1" applyBorder="1" applyFont="1" applyNumberFormat="1">
      <alignment horizontal="center" vertical="bottom"/>
    </xf>
    <xf borderId="7" fillId="12" fontId="11" numFmtId="3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16" numFmtId="167" xfId="0" applyAlignment="1" applyFont="1" applyNumberFormat="1">
      <alignment horizontal="right" vertical="bottom"/>
    </xf>
    <xf borderId="0" fillId="0" fontId="16" numFmtId="3" xfId="0" applyAlignment="1" applyFont="1" applyNumberFormat="1">
      <alignment vertical="bottom"/>
    </xf>
    <xf borderId="0" fillId="0" fontId="16" numFmtId="9" xfId="0" applyAlignment="1" applyFont="1" applyNumberFormat="1">
      <alignment horizontal="right" vertical="bottom"/>
    </xf>
    <xf borderId="0" fillId="0" fontId="16" numFmtId="164" xfId="0" applyAlignment="1" applyFont="1" applyNumberFormat="1">
      <alignment vertical="bottom"/>
    </xf>
    <xf borderId="0" fillId="0" fontId="16" numFmtId="164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0" fillId="11" fontId="16" numFmtId="164" xfId="0" applyAlignment="1" applyFont="1" applyNumberFormat="1">
      <alignment horizontal="center" readingOrder="0" vertical="bottom"/>
    </xf>
    <xf borderId="0" fillId="11" fontId="16" numFmtId="10" xfId="0" applyAlignment="1" applyFont="1" applyNumberFormat="1">
      <alignment horizontal="center" vertical="bottom"/>
    </xf>
    <xf borderId="0" fillId="11" fontId="16" numFmtId="3" xfId="0" applyAlignment="1" applyFont="1" applyNumberFormat="1">
      <alignment horizontal="center" vertical="bottom"/>
    </xf>
    <xf borderId="0" fillId="11" fontId="4" numFmtId="9" xfId="0" applyAlignment="1" applyFont="1" applyNumberFormat="1">
      <alignment horizontal="center" vertical="bottom"/>
    </xf>
    <xf borderId="0" fillId="11" fontId="4" numFmtId="0" xfId="0" applyAlignment="1" applyFont="1">
      <alignment horizontal="center" readingOrder="0" vertical="bottom"/>
    </xf>
    <xf borderId="0" fillId="0" fontId="4" numFmtId="10" xfId="0" applyAlignment="1" applyFont="1" applyNumberFormat="1">
      <alignment vertical="bottom"/>
    </xf>
    <xf borderId="0" fillId="11" fontId="16" numFmtId="164" xfId="0" applyAlignment="1" applyFont="1" applyNumberFormat="1">
      <alignment horizontal="center" vertical="bottom"/>
    </xf>
    <xf borderId="0" fillId="11" fontId="16" numFmtId="3" xfId="0" applyAlignment="1" applyFont="1" applyNumberFormat="1">
      <alignment horizontal="center" readingOrder="0" vertical="bottom"/>
    </xf>
    <xf borderId="5" fillId="10" fontId="16" numFmtId="0" xfId="0" applyAlignment="1" applyBorder="1" applyFont="1">
      <alignment readingOrder="0" vertical="bottom"/>
    </xf>
    <xf borderId="0" fillId="11" fontId="4" numFmtId="164" xfId="0" applyAlignment="1" applyFont="1" applyNumberFormat="1">
      <alignment horizontal="center" vertical="bottom"/>
    </xf>
    <xf borderId="0" fillId="11" fontId="4" numFmtId="0" xfId="0" applyAlignment="1" applyFont="1">
      <alignment horizontal="center" vertical="bottom"/>
    </xf>
    <xf borderId="0" fillId="0" fontId="16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9" fontId="4" numFmtId="0" xfId="0" applyAlignment="1" applyFont="1">
      <alignment vertical="bottom"/>
    </xf>
    <xf borderId="0" fillId="9" fontId="4" numFmtId="10" xfId="0" applyAlignment="1" applyFont="1" applyNumberFormat="1">
      <alignment vertical="bottom"/>
    </xf>
    <xf borderId="0" fillId="9" fontId="4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  <xf borderId="0" fillId="5" fontId="8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/>
    </xf>
    <xf borderId="0" fillId="5" fontId="2" numFmtId="0" xfId="0" applyFont="1"/>
    <xf borderId="0" fillId="5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51</xdr:row>
      <xdr:rowOff>200025</xdr:rowOff>
    </xdr:from>
    <xdr:ext cx="9039225" cy="48577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lon Carneiro" id="{740eee31-1a43-4005-837c-27534cd60086}" providerId="google-sheets"/>
  <x18tc:person displayName="Rodrigo Queiroz" id="{29ea51f3-684c-4550-a4b7-1924dc0fa742}" providerId="google-sheets"/>
  <x18tc:person displayName="André Musso" id="{e1cc1caa-b230-49b0-a5b9-9695b5cf83d7}" providerId="google-sheets"/>
  <x18tc:person displayName="Victor Peixoto" id="{55815c05-d046-4054-940f-8d2113d8ad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2" dT="2025-10-23T16:19:56.00" personId="{740eee31-1a43-4005-837c-27534cd60086}" id="{1013e2c2-df82-4229-aae8-8c13cc0c78ab}" done="1">
    <x18tc:text xml:space="preserve">enotas, bot conversa, github, etc..</x18tc:text>
  </x18tc:threadedComment>
  <x18tc:threadedComment ref="B54" dT="2025-11-04T15:01:55.00" personId="{55815c05-d046-4054-940f-8d2113d8ad49}" id="{85f5ec67-d673-477d-b9a6-79b1a1c54c21}" done="1">
    <x18tc:text xml:space="preserve">Vamos aumentar custo? Como vamos comportar tanta gente?</x18tc:text>
  </x18tc:threadedComment>
  <x18tc:threadedComment ref="B9" dT="2026-01-02T17:26:12.00" personId="{55815c05-d046-4054-940f-8d2113d8ad49}" id="{5155861e-453c-468d-8905-78e7f2e0eee6}" done="0">
    <x18tc:text xml:space="preserve">Considerei como CSV</x18tc:text>
  </x18tc:threadedComment>
  <x18tc:threadedComment ref="B36" dT="2025-12-18T17:57:24.00" personId="{55815c05-d046-4054-940f-8d2113d8ad49}" id="{27b6b770-eada-4dd3-8fe5-6aa88dd84020}" done="1">
    <x18tc:text xml:space="preserve">Novo</x18tc:text>
  </x18tc:threadedComment>
  <x18tc:threadedComment ref="B11" dT="2026-01-02T17:26:25.00" personId="{55815c05-d046-4054-940f-8d2113d8ad49}" id="{b1a4cdcf-7bea-4068-ade1-b81de4ec6a54}" done="0">
    <x18tc:text xml:space="preserve">Parcialmente no CSV</x18tc:text>
  </x18tc:threadedComment>
  <x18tc:threadedComment ref="B37" dT="2025-12-18T22:47:23.00" personId="{29ea51f3-684c-4550-a4b7-1924dc0fa742}" id="{61b3cf1e-5765-464e-9a17-e614a08280af}" done="0">
    <x18tc:text xml:space="preserve">financeiro</x18tc:text>
  </x18tc:threadedComment>
  <x18tc:threadedComment ref="B60" dT="2025-12-18T22:54:34.00" personId="{29ea51f3-684c-4550-a4b7-1924dc0fa742}" id="{e1dcf446-b11d-431e-942b-37c598ab7d70}" done="0">
    <x18tc:text xml:space="preserve">fonte hub</x18tc:text>
  </x18tc:threadedComment>
  <x18tc:threadedComment ref="B49" dT="2025-12-18T17:56:50.00" personId="{55815c05-d046-4054-940f-8d2113d8ad49}" id="{b0591100-5af5-49c2-a673-6d63ddf3ccd7}" done="1">
    <x18tc:text xml:space="preserve">Gastamos hj 5k</x18tc:text>
  </x18tc:threadedComment>
  <x18tc:threadedComment ref="B24" dT="2025-10-31T14:39:16.00" personId="{55815c05-d046-4054-940f-8d2113d8ad49}" id="{66eb9bbf-9a76-4a95-a45a-c79838faef5a}" done="1">
    <x18tc:text xml:space="preserve">Quem vamos subir?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45" dT="2025-12-18T17:39:33.00" personId="{55815c05-d046-4054-940f-8d2113d8ad49}" id="{82df804c-eaeb-484d-863d-4d442bc3418a}" done="0">
    <x18tc:text xml:space="preserve">Ja pagamos uns 20k em média</x18tc:text>
  </x18tc:threadedComment>
  <x18tc:threadedComment ref="C344" dT="2025-12-18T17:39:55.00" personId="{55815c05-d046-4054-940f-8d2113d8ad49}" id="{7378d9a8-82e1-4653-a915-01149da78fee}" done="0">
    <x18tc:text xml:space="preserve">Ja gastamos uns 10k em média (antes estava bookado 5k)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5-10-23T14:23:13.00" personId="{55815c05-d046-4054-940f-8d2113d8ad49}" id="{bedb7045-c51e-460a-ae96-29c8e19de640}" done="1">
    <x18tc:text xml:space="preserve">Visão de caixa</x18tc:text>
  </x18tc:threadedComment>
  <x18tc:threadedComment ref="B5" dT="2025-10-23T14:55:52.00" personId="{e1cc1caa-b230-49b0-a5b9-9695b5cf83d7}" id="{d20d8550-f4b7-41b0-8725-87c05f639a99}" parentId="{bedb7045-c51e-460a-ae96-29c8e19de640}">
    <x18tc:text xml:space="preserve">Adicionei um residual do saldo de pontuais vendidos no ano anterior nos primeiros meses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1-12T20:02:37.00" personId="{29ea51f3-684c-4550-a4b7-1924dc0fa742}" id="{565c1579-f4af-49d0-8056-6813eefc57bc}" done="0">
    <x18tc:text xml:space="preserve">200 camisas a 75 reais cada</x18tc:text>
  </x18tc:threadedComment>
  <x18tc:threadedComment ref="B32" dT="2026-01-12T19:58:55.00" personId="{29ea51f3-684c-4550-a4b7-1924dc0fa742}" id="{e94a0d9c-3bd5-4396-af70-d3c918581b33}" done="0">
    <x18tc:text xml:space="preserve">180 reais por pessoa, consideramos 100 novas pessoas esse ano</x18tc:text>
  </x18tc:threadedComment>
  <x18tc:threadedComment ref="Q23" dT="2026-01-13T15:59:24.00" personId="{29ea51f3-684c-4550-a4b7-1924dc0fa742}" id="{e7823155-2f66-45b1-b31f-27f3f7624746}" done="0">
    <x18tc:text xml:space="preserve">analista creators, analista comunicação, gestao de comunidade</x18tc:text>
  </x18tc:threadedComment>
  <x18tc:threadedComment ref="Q22" dT="2026-01-13T15:59:49.00" personId="{29ea51f3-684c-4550-a4b7-1924dc0fa742}" id="{e96c80d2-7531-4bf9-9ab5-b8c7a8c582a7}" done="0">
    <x18tc:text xml:space="preserve">Gestor de Performance, Gestão Others</x18tc:text>
  </x18tc:threadedComment>
  <x18tc:threadedComment ref="Q24" dT="2026-01-13T16:01:07.00" personId="{29ea51f3-684c-4550-a4b7-1924dc0fa742}" id="{53412ad8-6545-4db1-8092-37c753f13fcf}" done="0">
    <x18tc:text xml:space="preserve">designer performance, designer creator, designer social</x18tc:text>
  </x18tc:threadedComment>
  <x18tc:threadedComment ref="B35" dT="2026-01-12T19:47:36.00" personId="{29ea51f3-684c-4550-a4b7-1924dc0fa742}" id="{fb96e8e7-44ac-427c-aa35-5231279d73fc}" done="0">
    <x18tc:text xml:space="preserve">Happy Hour, Evento de times (lideres, squadra etc)</x18tc:text>
  </x18tc:threadedComment>
  <x18tc:threadedComment ref="B29" dT="2026-01-12T19:02:15.00" personId="{29ea51f3-684c-4550-a4b7-1924dc0fa742}" id="{f85b7d57-892a-465c-9f2c-75c03629e070}" done="0">
    <x18tc:text xml:space="preserve">Trofeu com evolução + Mensagem + Camisa
Consideramos 200 reais e 84 pessoas</x18tc:text>
  </x18tc:threadedComment>
  <x18tc:threadedComment ref="B33" dT="2026-01-12T19:07:16.00" personId="{29ea51f3-684c-4550-a4b7-1924dc0fa742}" id="{5c430610-8520-4299-b804-0fafe0377a43}" done="0">
    <x18tc:text xml:space="preserve">250 camisas a 40 reais cada</x18tc:text>
  </x18tc:threadedComment>
  <x18tc:threadedComment ref="B37" dT="2026-01-12T19:45:12.00" personId="{29ea51f3-684c-4550-a4b7-1924dc0fa742}" id="{29783355-13a9-4ea3-90a8-1343671b2b18}" done="0">
    <x18tc:text xml:space="preserve">TurboWhen, Festa Junina, Outros</x18tc:text>
  </x18tc:threadedComment>
  <x18tc:threadedComment ref="B30" dT="2026-01-12T19:02:37.00" personId="{29ea51f3-684c-4550-a4b7-1924dc0fa742}" id="{dead57fc-f3d5-467e-8644-cc4dbf54e3ce}" done="0">
    <x18tc:text xml:space="preserve">Caixa de bombom e chocolates + Mensagem
Consideramos 40 reais por pessoa</x18tc:text>
  </x18tc:threadedComment>
  <x18tc:threadedComment ref="B34" dT="2026-01-12T19:41:15.00" personId="{29ea51f3-684c-4550-a4b7-1924dc0fa742}" id="{bfeb9ed3-d757-465a-a618-ae86cea30ec6}" done="0">
    <x18tc:text xml:space="preserve">Iremos ter a contabilidade de despesa e receita. ( o que colocamos foi o net )</x18tc:text>
  </x18tc:threadedComment>
  <x18tc:threadedComment ref="B28" dT="2026-01-12T18:55:18.00" personId="{29ea51f3-684c-4550-a4b7-1924dc0fa742}" id="{90851297-4a2a-40e8-a52a-01ceef42bb49}" done="0">
    <x18tc:text xml:space="preserve">Kart, Airsoft, Game online, boliche, Pelada etc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d9xdiEdrcTYg6vKJGJvyknFmdaPA3eUgVTLtH2r8K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75"/>
    <col customWidth="1" min="3" max="3" width="24.13"/>
    <col customWidth="1" min="4" max="4" width="16.25"/>
    <col customWidth="1" min="5" max="5" width="15.5"/>
    <col customWidth="1" min="6" max="6" width="17.88"/>
    <col customWidth="1" min="8" max="8" width="32.25"/>
  </cols>
  <sheetData>
    <row r="1">
      <c r="B1" s="1"/>
    </row>
    <row r="2">
      <c r="B2" s="1" t="s">
        <v>0</v>
      </c>
    </row>
    <row r="3">
      <c r="B3" s="1" t="s">
        <v>1</v>
      </c>
      <c r="C3" s="2" t="s">
        <v>2</v>
      </c>
    </row>
    <row r="4">
      <c r="B4" s="1" t="s">
        <v>3</v>
      </c>
    </row>
    <row r="5">
      <c r="B5" s="2" t="s">
        <v>4</v>
      </c>
    </row>
    <row r="6">
      <c r="B6" s="2" t="s">
        <v>5</v>
      </c>
    </row>
    <row r="7">
      <c r="B7" s="2" t="s">
        <v>6</v>
      </c>
    </row>
    <row r="9">
      <c r="B9" s="1" t="s">
        <v>7</v>
      </c>
      <c r="C9" s="3" t="s">
        <v>8</v>
      </c>
    </row>
    <row r="11">
      <c r="B11" s="1" t="s">
        <v>9</v>
      </c>
    </row>
    <row r="13">
      <c r="B13" s="1" t="s">
        <v>10</v>
      </c>
    </row>
    <row r="14">
      <c r="B14" s="2" t="s">
        <v>11</v>
      </c>
    </row>
    <row r="15">
      <c r="B15" s="2" t="s">
        <v>12</v>
      </c>
      <c r="H15" s="4"/>
    </row>
    <row r="16">
      <c r="B16" s="2" t="s">
        <v>13</v>
      </c>
      <c r="H16" s="5"/>
    </row>
    <row r="17">
      <c r="B17" s="2" t="s">
        <v>14</v>
      </c>
      <c r="H17" s="5"/>
    </row>
    <row r="18">
      <c r="B18" s="1" t="s">
        <v>15</v>
      </c>
      <c r="C18" s="2" t="s">
        <v>16</v>
      </c>
      <c r="H18" s="5"/>
    </row>
    <row r="19">
      <c r="H19" s="5"/>
    </row>
    <row r="20">
      <c r="B20" s="1" t="s">
        <v>17</v>
      </c>
    </row>
    <row r="21">
      <c r="B21" s="2" t="s">
        <v>18</v>
      </c>
    </row>
    <row r="22">
      <c r="B22" s="2" t="s">
        <v>19</v>
      </c>
    </row>
    <row r="23">
      <c r="B23" s="2" t="s">
        <v>20</v>
      </c>
    </row>
    <row r="24">
      <c r="B24" s="2" t="s">
        <v>21</v>
      </c>
    </row>
    <row r="25">
      <c r="B25" s="2" t="s">
        <v>22</v>
      </c>
    </row>
    <row r="27">
      <c r="B27" s="6" t="s">
        <v>23</v>
      </c>
      <c r="C27" s="7"/>
      <c r="D27" s="8"/>
    </row>
    <row r="28">
      <c r="B28" s="9" t="s">
        <v>24</v>
      </c>
      <c r="C28" s="10" t="s">
        <v>25</v>
      </c>
      <c r="D28" s="10" t="s">
        <v>26</v>
      </c>
      <c r="E28" s="11" t="s">
        <v>27</v>
      </c>
    </row>
    <row r="29">
      <c r="B29" s="12" t="s">
        <v>28</v>
      </c>
      <c r="C29" s="13" t="s">
        <v>29</v>
      </c>
      <c r="D29" s="13"/>
    </row>
    <row r="30">
      <c r="B30" s="12" t="s">
        <v>30</v>
      </c>
      <c r="C30" s="13" t="s">
        <v>31</v>
      </c>
      <c r="D30" s="13" t="s">
        <v>32</v>
      </c>
      <c r="E30" s="13" t="s">
        <v>33</v>
      </c>
    </row>
    <row r="32">
      <c r="B32" s="2" t="s">
        <v>34</v>
      </c>
    </row>
    <row r="33">
      <c r="B33" s="2" t="s">
        <v>35</v>
      </c>
      <c r="D33" s="2" t="s">
        <v>36</v>
      </c>
    </row>
    <row r="34">
      <c r="D34" s="5"/>
      <c r="E34" s="5"/>
      <c r="F34" s="5"/>
      <c r="G34" s="5"/>
      <c r="H34" s="5"/>
    </row>
    <row r="35">
      <c r="B35" s="5"/>
      <c r="C35" s="14"/>
      <c r="D35" s="5"/>
      <c r="E35" s="5"/>
      <c r="F35" s="5"/>
      <c r="G35" s="5"/>
      <c r="H35" s="5"/>
    </row>
    <row r="36">
      <c r="B36" s="15" t="s">
        <v>37</v>
      </c>
      <c r="C36" s="16">
        <v>1700000.0</v>
      </c>
      <c r="D36" s="5"/>
      <c r="E36" s="5"/>
      <c r="F36" s="5"/>
      <c r="G36" s="5"/>
      <c r="H36" s="5"/>
      <c r="I36" s="1" t="s">
        <v>38</v>
      </c>
    </row>
    <row r="37">
      <c r="B37" s="17" t="s">
        <v>39</v>
      </c>
      <c r="C37" s="18">
        <v>0.7</v>
      </c>
      <c r="D37" s="17" t="s">
        <v>40</v>
      </c>
      <c r="E37" s="17" t="s">
        <v>41</v>
      </c>
      <c r="F37" s="17" t="s">
        <v>42</v>
      </c>
      <c r="G37" s="5"/>
      <c r="H37" s="5"/>
      <c r="I37" s="2" t="s">
        <v>43</v>
      </c>
    </row>
    <row r="38">
      <c r="B38" s="17" t="s">
        <v>44</v>
      </c>
      <c r="C38" s="19">
        <v>0.386</v>
      </c>
      <c r="D38" s="20">
        <f t="shared" ref="D38:D41" si="1">C38*$C$37*$C$36</f>
        <v>459340</v>
      </c>
      <c r="E38" s="20">
        <f t="shared" ref="E38:E39" si="2">25000*12</f>
        <v>300000</v>
      </c>
      <c r="F38" s="20">
        <f>E48</f>
        <v>38250</v>
      </c>
      <c r="G38" s="20">
        <f t="shared" ref="G38:G40" si="3">E38+D38+F38</f>
        <v>797590</v>
      </c>
      <c r="H38" s="5"/>
      <c r="I38" s="2" t="s">
        <v>45</v>
      </c>
    </row>
    <row r="39">
      <c r="B39" s="17" t="s">
        <v>46</v>
      </c>
      <c r="C39" s="19">
        <v>0.28</v>
      </c>
      <c r="D39" s="20">
        <f t="shared" si="1"/>
        <v>333200</v>
      </c>
      <c r="E39" s="20">
        <f t="shared" si="2"/>
        <v>300000</v>
      </c>
      <c r="F39" s="20">
        <f>E47</f>
        <v>38250</v>
      </c>
      <c r="G39" s="20">
        <f t="shared" si="3"/>
        <v>671450</v>
      </c>
      <c r="H39" s="5"/>
      <c r="I39" s="2" t="s">
        <v>47</v>
      </c>
    </row>
    <row r="40">
      <c r="B40" s="17" t="s">
        <v>48</v>
      </c>
      <c r="C40" s="19">
        <v>0.284</v>
      </c>
      <c r="D40" s="20">
        <f t="shared" si="1"/>
        <v>337960</v>
      </c>
      <c r="E40" s="20">
        <f>30000*12</f>
        <v>360000</v>
      </c>
      <c r="F40" s="20">
        <f>E44</f>
        <v>51000</v>
      </c>
      <c r="G40" s="20">
        <f t="shared" si="3"/>
        <v>748960</v>
      </c>
      <c r="H40" s="5"/>
      <c r="I40" s="2" t="s">
        <v>49</v>
      </c>
    </row>
    <row r="41">
      <c r="B41" s="17" t="s">
        <v>50</v>
      </c>
      <c r="C41" s="19">
        <v>0.05</v>
      </c>
      <c r="D41" s="20">
        <f t="shared" si="1"/>
        <v>59500</v>
      </c>
      <c r="E41" s="5"/>
      <c r="F41" s="5"/>
      <c r="G41" s="5"/>
      <c r="H41" s="5"/>
    </row>
    <row r="42">
      <c r="B42" s="5"/>
      <c r="C42" s="14"/>
      <c r="D42" s="5"/>
      <c r="E42" s="5"/>
      <c r="F42" s="5"/>
      <c r="G42" s="5"/>
      <c r="H42" s="5"/>
      <c r="I42" s="1" t="s">
        <v>51</v>
      </c>
    </row>
    <row r="43">
      <c r="C43" s="21" t="s">
        <v>52</v>
      </c>
      <c r="D43" s="22">
        <v>0.3</v>
      </c>
      <c r="E43" s="23">
        <f>C36*D43</f>
        <v>510000</v>
      </c>
      <c r="F43" s="5"/>
      <c r="G43" s="5"/>
      <c r="H43" s="5"/>
      <c r="I43" s="2" t="s">
        <v>53</v>
      </c>
    </row>
    <row r="44">
      <c r="B44" s="5" t="s">
        <v>54</v>
      </c>
      <c r="C44" s="5" t="s">
        <v>55</v>
      </c>
      <c r="D44" s="24">
        <v>0.1</v>
      </c>
      <c r="E44" s="20">
        <f t="shared" ref="E44:E50" si="4">D44*$D$43*$C$36</f>
        <v>51000</v>
      </c>
      <c r="F44" s="5"/>
      <c r="G44" s="4"/>
      <c r="H44" s="5"/>
      <c r="I44" s="2" t="s">
        <v>56</v>
      </c>
    </row>
    <row r="45">
      <c r="B45" s="5" t="s">
        <v>57</v>
      </c>
      <c r="C45" s="5" t="s">
        <v>58</v>
      </c>
      <c r="D45" s="19">
        <v>0.075</v>
      </c>
      <c r="E45" s="20">
        <f t="shared" si="4"/>
        <v>38250</v>
      </c>
      <c r="F45" s="5"/>
      <c r="G45" s="5"/>
      <c r="H45" s="5"/>
      <c r="I45" s="2" t="s">
        <v>59</v>
      </c>
    </row>
    <row r="46">
      <c r="B46" s="5" t="s">
        <v>60</v>
      </c>
      <c r="C46" s="5" t="s">
        <v>61</v>
      </c>
      <c r="D46" s="19">
        <v>0.075</v>
      </c>
      <c r="E46" s="20">
        <f t="shared" si="4"/>
        <v>38250</v>
      </c>
      <c r="F46" s="5"/>
      <c r="G46" s="5"/>
      <c r="H46" s="5"/>
    </row>
    <row r="47">
      <c r="B47" s="5" t="s">
        <v>62</v>
      </c>
      <c r="C47" s="5" t="s">
        <v>63</v>
      </c>
      <c r="D47" s="19">
        <v>0.075</v>
      </c>
      <c r="E47" s="20">
        <f t="shared" si="4"/>
        <v>38250</v>
      </c>
      <c r="F47" s="5"/>
      <c r="G47" s="5"/>
      <c r="H47" s="5"/>
      <c r="I47" s="1" t="s">
        <v>64</v>
      </c>
    </row>
    <row r="48">
      <c r="B48" s="5" t="s">
        <v>44</v>
      </c>
      <c r="C48" s="5" t="s">
        <v>65</v>
      </c>
      <c r="D48" s="19">
        <v>0.075</v>
      </c>
      <c r="E48" s="20">
        <f t="shared" si="4"/>
        <v>38250</v>
      </c>
      <c r="F48" s="5"/>
      <c r="G48" s="5"/>
      <c r="H48" s="5"/>
      <c r="I48" s="2" t="s">
        <v>66</v>
      </c>
    </row>
    <row r="49">
      <c r="B49" s="4" t="s">
        <v>67</v>
      </c>
      <c r="C49" s="5" t="s">
        <v>68</v>
      </c>
      <c r="D49" s="24">
        <v>0.3</v>
      </c>
      <c r="E49" s="20">
        <f t="shared" si="4"/>
        <v>153000</v>
      </c>
      <c r="F49" s="20">
        <f>E49/10</f>
        <v>15300</v>
      </c>
      <c r="G49" s="4" t="s">
        <v>69</v>
      </c>
      <c r="H49" s="5"/>
      <c r="I49" s="2" t="s">
        <v>70</v>
      </c>
    </row>
    <row r="50">
      <c r="B50" s="4" t="s">
        <v>71</v>
      </c>
      <c r="C50" s="5" t="s">
        <v>72</v>
      </c>
      <c r="D50" s="24">
        <v>0.3</v>
      </c>
      <c r="E50" s="20">
        <f t="shared" si="4"/>
        <v>153000</v>
      </c>
      <c r="F50" s="20">
        <f>E50/20</f>
        <v>7650</v>
      </c>
      <c r="G50" s="4" t="s">
        <v>73</v>
      </c>
      <c r="H50" s="5"/>
      <c r="I50" s="2" t="s">
        <v>74</v>
      </c>
    </row>
    <row r="51">
      <c r="C51" s="5"/>
      <c r="D51" s="19">
        <f>SUM(D44:D50)</f>
        <v>1</v>
      </c>
      <c r="E51" s="20">
        <f>sum(E44:E50)</f>
        <v>510000</v>
      </c>
      <c r="F51" s="5"/>
      <c r="G51" s="5"/>
      <c r="H51" s="5"/>
      <c r="I51" s="2" t="s">
        <v>75</v>
      </c>
    </row>
  </sheetData>
  <mergeCells count="1">
    <mergeCell ref="B27:D27"/>
  </mergeCells>
  <hyperlinks>
    <hyperlink r:id="rId1" ref="C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3.5"/>
    <col customWidth="1" min="3" max="3" width="13.38"/>
    <col customWidth="1" min="5" max="6" width="13.38"/>
    <col customWidth="1" min="7" max="7" width="12.88"/>
    <col customWidth="1" min="8" max="12" width="13.38"/>
    <col customWidth="1" min="14" max="14" width="13.38"/>
    <col customWidth="1" min="15" max="15" width="11.88"/>
    <col customWidth="1" min="16" max="17" width="14.25"/>
  </cols>
  <sheetData>
    <row r="1" ht="9.75" customHeight="1">
      <c r="O1" s="25"/>
      <c r="P1" s="26"/>
      <c r="Q1" s="26"/>
    </row>
    <row r="2">
      <c r="B2" s="27" t="s">
        <v>76</v>
      </c>
      <c r="C2" s="28" t="s">
        <v>77</v>
      </c>
      <c r="D2" s="7"/>
      <c r="E2" s="8"/>
      <c r="F2" s="28" t="s">
        <v>78</v>
      </c>
      <c r="G2" s="7"/>
      <c r="H2" s="8"/>
      <c r="I2" s="28" t="s">
        <v>79</v>
      </c>
      <c r="J2" s="7"/>
      <c r="K2" s="8"/>
      <c r="L2" s="28" t="s">
        <v>80</v>
      </c>
      <c r="M2" s="7"/>
      <c r="N2" s="8"/>
      <c r="O2" s="25"/>
      <c r="P2" s="11"/>
      <c r="Q2" s="26"/>
      <c r="R2" s="29" t="s">
        <v>77</v>
      </c>
      <c r="S2" s="8"/>
    </row>
    <row r="3">
      <c r="B3" s="30"/>
      <c r="C3" s="31" t="s">
        <v>81</v>
      </c>
      <c r="D3" s="31" t="s">
        <v>82</v>
      </c>
      <c r="E3" s="31" t="s">
        <v>83</v>
      </c>
      <c r="F3" s="31" t="s">
        <v>84</v>
      </c>
      <c r="G3" s="31" t="s">
        <v>85</v>
      </c>
      <c r="H3" s="31" t="s">
        <v>86</v>
      </c>
      <c r="I3" s="31" t="s">
        <v>87</v>
      </c>
      <c r="J3" s="31" t="s">
        <v>88</v>
      </c>
      <c r="K3" s="31" t="s">
        <v>89</v>
      </c>
      <c r="L3" s="31" t="s">
        <v>90</v>
      </c>
      <c r="M3" s="31" t="s">
        <v>91</v>
      </c>
      <c r="N3" s="31" t="s">
        <v>92</v>
      </c>
      <c r="O3" s="31" t="s">
        <v>93</v>
      </c>
      <c r="P3" s="32"/>
      <c r="Q3" s="26"/>
      <c r="R3" s="30" t="s">
        <v>94</v>
      </c>
      <c r="S3" s="33">
        <v>0.06</v>
      </c>
    </row>
    <row r="4">
      <c r="B4" s="30" t="s">
        <v>95</v>
      </c>
      <c r="C4" s="34">
        <f>Revenue!D5</f>
        <v>1156850</v>
      </c>
      <c r="D4" s="34">
        <f>Revenue!E5</f>
        <v>1267733.5</v>
      </c>
      <c r="E4" s="34">
        <f>Revenue!F5</f>
        <v>1368637.485</v>
      </c>
      <c r="F4" s="34">
        <f>Revenue!G5</f>
        <v>1485460.111</v>
      </c>
      <c r="G4" s="34">
        <f>Revenue!H5</f>
        <v>1591768.701</v>
      </c>
      <c r="H4" s="34">
        <f>Revenue!I5</f>
        <v>1688509.518</v>
      </c>
      <c r="I4" s="34">
        <f>Revenue!J5</f>
        <v>1806543.662</v>
      </c>
      <c r="J4" s="34">
        <f>Revenue!K5</f>
        <v>1913954.732</v>
      </c>
      <c r="K4" s="34">
        <f>Revenue!L5</f>
        <v>2011698.806</v>
      </c>
      <c r="L4" s="34">
        <f>Revenue!M5</f>
        <v>2130645.914</v>
      </c>
      <c r="M4" s="34">
        <f>Revenue!N5</f>
        <v>2238887.781</v>
      </c>
      <c r="N4" s="34">
        <f>Revenue!O5</f>
        <v>2337387.881</v>
      </c>
      <c r="O4" s="35">
        <f t="shared" ref="O4:O6" si="1">sum(C4:N4)</f>
        <v>20998078.09</v>
      </c>
      <c r="R4" s="2"/>
      <c r="S4" s="36"/>
    </row>
    <row r="5">
      <c r="B5" s="30" t="s">
        <v>96</v>
      </c>
      <c r="C5" s="35">
        <f>Revenue!D37</f>
        <v>240000</v>
      </c>
      <c r="D5" s="35">
        <f>Revenue!E37</f>
        <v>280000</v>
      </c>
      <c r="E5" s="35">
        <f>Revenue!F37</f>
        <v>270000</v>
      </c>
      <c r="F5" s="35">
        <f>Revenue!G37</f>
        <v>288333.3333</v>
      </c>
      <c r="G5" s="35">
        <f>Revenue!H37</f>
        <v>306666.6667</v>
      </c>
      <c r="H5" s="35">
        <f>Revenue!I37</f>
        <v>325000</v>
      </c>
      <c r="I5" s="35">
        <f>Revenue!J37</f>
        <v>343333.3333</v>
      </c>
      <c r="J5" s="35">
        <f>Revenue!K37</f>
        <v>361666.6667</v>
      </c>
      <c r="K5" s="35">
        <f>Revenue!L37</f>
        <v>380000</v>
      </c>
      <c r="L5" s="35">
        <f>Revenue!M37</f>
        <v>398333.3333</v>
      </c>
      <c r="M5" s="35">
        <f>Revenue!N37</f>
        <v>416666.6667</v>
      </c>
      <c r="N5" s="35">
        <f>Revenue!O37</f>
        <v>435000</v>
      </c>
      <c r="O5" s="35">
        <f t="shared" si="1"/>
        <v>4045000</v>
      </c>
      <c r="P5" s="26"/>
      <c r="Q5" s="26"/>
      <c r="R5" s="29" t="s">
        <v>78</v>
      </c>
      <c r="S5" s="8"/>
    </row>
    <row r="6">
      <c r="B6" s="30" t="s">
        <v>97</v>
      </c>
      <c r="C6" s="34">
        <f>'Outras Receitas'!C15</f>
        <v>20766.66667</v>
      </c>
      <c r="D6" s="34">
        <f>'Outras Receitas'!D15</f>
        <v>60408</v>
      </c>
      <c r="E6" s="34">
        <f>'Outras Receitas'!E15</f>
        <v>25626.66667</v>
      </c>
      <c r="F6" s="34">
        <f>'Outras Receitas'!F15</f>
        <v>43076.66667</v>
      </c>
      <c r="G6" s="34">
        <f>'Outras Receitas'!G15</f>
        <v>90096.66667</v>
      </c>
      <c r="H6" s="34">
        <f>'Outras Receitas'!H15</f>
        <v>48783.33333</v>
      </c>
      <c r="I6" s="34">
        <f>'Outras Receitas'!I15</f>
        <v>85573.33333</v>
      </c>
      <c r="J6" s="34">
        <f>'Outras Receitas'!J15</f>
        <v>135713.3333</v>
      </c>
      <c r="K6" s="34">
        <f>'Outras Receitas'!K15</f>
        <v>79046.66667</v>
      </c>
      <c r="L6" s="34">
        <f>'Outras Receitas'!L15</f>
        <v>137006.6667</v>
      </c>
      <c r="M6" s="34">
        <f>'Outras Receitas'!M15</f>
        <v>177006.6667</v>
      </c>
      <c r="N6" s="34">
        <f>'Outras Receitas'!N15</f>
        <v>137006.6667</v>
      </c>
      <c r="O6" s="35">
        <f t="shared" si="1"/>
        <v>1040111.333</v>
      </c>
      <c r="P6" s="26"/>
      <c r="Q6" s="26"/>
      <c r="R6" s="30" t="s">
        <v>94</v>
      </c>
      <c r="S6" s="33">
        <v>0.06</v>
      </c>
    </row>
    <row r="7">
      <c r="B7" s="12" t="s">
        <v>98</v>
      </c>
      <c r="C7" s="37">
        <f t="shared" ref="C7:O7" si="2">C4+C5+C6</f>
        <v>1417616.667</v>
      </c>
      <c r="D7" s="37">
        <f t="shared" si="2"/>
        <v>1608141.5</v>
      </c>
      <c r="E7" s="37">
        <f t="shared" si="2"/>
        <v>1664264.152</v>
      </c>
      <c r="F7" s="37">
        <f t="shared" si="2"/>
        <v>1816870.111</v>
      </c>
      <c r="G7" s="37">
        <f t="shared" si="2"/>
        <v>1988532.035</v>
      </c>
      <c r="H7" s="37">
        <f t="shared" si="2"/>
        <v>2062292.852</v>
      </c>
      <c r="I7" s="37">
        <f t="shared" si="2"/>
        <v>2235450.328</v>
      </c>
      <c r="J7" s="37">
        <f t="shared" si="2"/>
        <v>2411334.732</v>
      </c>
      <c r="K7" s="37">
        <f t="shared" si="2"/>
        <v>2470745.473</v>
      </c>
      <c r="L7" s="37">
        <f t="shared" si="2"/>
        <v>2665985.914</v>
      </c>
      <c r="M7" s="37">
        <f t="shared" si="2"/>
        <v>2832561.115</v>
      </c>
      <c r="N7" s="37">
        <f t="shared" si="2"/>
        <v>2909394.548</v>
      </c>
      <c r="O7" s="37">
        <f t="shared" si="2"/>
        <v>26083189.42</v>
      </c>
      <c r="P7" s="26"/>
      <c r="Q7" s="26"/>
    </row>
    <row r="8">
      <c r="B8" s="30" t="s">
        <v>99</v>
      </c>
      <c r="C8" s="35">
        <f t="shared" ref="C8:E8" si="3">C7*$S$3</f>
        <v>85057</v>
      </c>
      <c r="D8" s="35">
        <f t="shared" si="3"/>
        <v>96488.49</v>
      </c>
      <c r="E8" s="35">
        <f t="shared" si="3"/>
        <v>99855.8491</v>
      </c>
      <c r="F8" s="35">
        <f t="shared" ref="F8:H8" si="4">F7*$S$6</f>
        <v>109012.2067</v>
      </c>
      <c r="G8" s="35">
        <f t="shared" si="4"/>
        <v>119311.9221</v>
      </c>
      <c r="H8" s="35">
        <f t="shared" si="4"/>
        <v>123737.5711</v>
      </c>
      <c r="I8" s="35">
        <f t="shared" ref="I8:K8" si="5">I7*$S$9</f>
        <v>134127.0197</v>
      </c>
      <c r="J8" s="35">
        <f t="shared" si="5"/>
        <v>144680.0839</v>
      </c>
      <c r="K8" s="35">
        <f t="shared" si="5"/>
        <v>148244.7284</v>
      </c>
      <c r="L8" s="35">
        <f t="shared" ref="L8:N8" si="6">L7*$S$12</f>
        <v>159959.1548</v>
      </c>
      <c r="M8" s="35">
        <f t="shared" si="6"/>
        <v>169953.6669</v>
      </c>
      <c r="N8" s="35">
        <f t="shared" si="6"/>
        <v>174563.6729</v>
      </c>
      <c r="O8" s="35">
        <f t="shared" ref="O8:O16" si="7">sum(C8:N8)</f>
        <v>1564991.365</v>
      </c>
      <c r="P8" s="38">
        <f t="shared" ref="P8:P9" si="8">O8/$O$7</f>
        <v>0.06</v>
      </c>
      <c r="Q8" s="26"/>
      <c r="R8" s="29" t="s">
        <v>79</v>
      </c>
      <c r="S8" s="8"/>
    </row>
    <row r="9">
      <c r="B9" s="30" t="s">
        <v>100</v>
      </c>
      <c r="C9" s="35">
        <f>'Tributário'!F11+'Tributário'!F12+'Tributário'!F13</f>
        <v>133132.2988</v>
      </c>
      <c r="D9" s="35">
        <f>'Tributário'!G11+'Tributário'!G12+'Tributário'!G13</f>
        <v>150146.1664</v>
      </c>
      <c r="E9" s="35">
        <f>'Tributário'!H11+'Tributário'!H12+'Tributário'!H13</f>
        <v>155157.9192</v>
      </c>
      <c r="F9" s="35">
        <f>'Tributário'!I11+'Tributário'!I12+'Tributário'!I13</f>
        <v>170420.414</v>
      </c>
      <c r="G9" s="35">
        <f>'Tributário'!J11+'Tributário'!J12+'Tributário'!J13</f>
        <v>185749.8237</v>
      </c>
      <c r="H9" s="35">
        <f>'Tributário'!K11+'Tributário'!K12+'Tributário'!K13</f>
        <v>192336.6647</v>
      </c>
      <c r="I9" s="35">
        <f>'Tributário'!L11+'Tributário'!L12+'Tributário'!L13</f>
        <v>207799.6274</v>
      </c>
      <c r="J9" s="35">
        <f>'Tributário'!M11+'Tributário'!M12+'Tributário'!M13</f>
        <v>223506.1046</v>
      </c>
      <c r="K9" s="35">
        <f>'Tributário'!N11+'Tributário'!N12+'Tributário'!N13</f>
        <v>228811.4838</v>
      </c>
      <c r="L9" s="35">
        <f>'Tributário'!O11+'Tributário'!O12+'Tributário'!O13</f>
        <v>246246.4551</v>
      </c>
      <c r="M9" s="35">
        <f>'Tributário'!P11+'Tributário'!P12+'Tributário'!P13</f>
        <v>261121.6206</v>
      </c>
      <c r="N9" s="35">
        <f>'Tributário'!Q11+'Tributário'!Q12+'Tributário'!Q13</f>
        <v>267982.8462</v>
      </c>
      <c r="O9" s="35">
        <f t="shared" si="7"/>
        <v>2422411.424</v>
      </c>
      <c r="P9" s="38">
        <f t="shared" si="8"/>
        <v>0.09287251589</v>
      </c>
      <c r="Q9" s="26"/>
      <c r="R9" s="30" t="s">
        <v>94</v>
      </c>
      <c r="S9" s="33">
        <v>0.06</v>
      </c>
    </row>
    <row r="10">
      <c r="B10" s="12" t="s">
        <v>101</v>
      </c>
      <c r="C10" s="37">
        <f t="shared" ref="C10:N10" si="9">C7-C8-C9</f>
        <v>1199427.368</v>
      </c>
      <c r="D10" s="37">
        <f t="shared" si="9"/>
        <v>1361506.844</v>
      </c>
      <c r="E10" s="37">
        <f t="shared" si="9"/>
        <v>1409250.383</v>
      </c>
      <c r="F10" s="37">
        <f t="shared" si="9"/>
        <v>1537437.491</v>
      </c>
      <c r="G10" s="37">
        <f t="shared" si="9"/>
        <v>1683470.289</v>
      </c>
      <c r="H10" s="37">
        <f t="shared" si="9"/>
        <v>1746218.616</v>
      </c>
      <c r="I10" s="37">
        <f t="shared" si="9"/>
        <v>1893523.681</v>
      </c>
      <c r="J10" s="37">
        <f t="shared" si="9"/>
        <v>2043148.543</v>
      </c>
      <c r="K10" s="37">
        <f t="shared" si="9"/>
        <v>2093689.261</v>
      </c>
      <c r="L10" s="37">
        <f t="shared" si="9"/>
        <v>2259780.304</v>
      </c>
      <c r="M10" s="37">
        <f t="shared" si="9"/>
        <v>2401485.827</v>
      </c>
      <c r="N10" s="37">
        <f t="shared" si="9"/>
        <v>2466848.029</v>
      </c>
      <c r="O10" s="37">
        <f t="shared" si="7"/>
        <v>22095786.64</v>
      </c>
      <c r="Q10" s="39">
        <f>O10/$O$7</f>
        <v>0.8471274841</v>
      </c>
    </row>
    <row r="11">
      <c r="B11" s="30" t="s">
        <v>102</v>
      </c>
      <c r="C11" s="35">
        <f>CSV!D4</f>
        <v>345754.4</v>
      </c>
      <c r="D11" s="35">
        <f>CSV!E4</f>
        <v>380706.304</v>
      </c>
      <c r="E11" s="35">
        <f>CSV!F4</f>
        <v>399437.5366</v>
      </c>
      <c r="F11" s="35">
        <f>CSV!G4</f>
        <v>465597.9583</v>
      </c>
      <c r="G11" s="35">
        <f>CSV!H4</f>
        <v>488400.6421</v>
      </c>
      <c r="H11" s="35">
        <f>CSV!I4</f>
        <v>495996.0843</v>
      </c>
      <c r="I11" s="35">
        <f>CSV!J4</f>
        <v>557632.9367</v>
      </c>
      <c r="J11" s="35">
        <f>CSV!K4</f>
        <v>583914.1724</v>
      </c>
      <c r="K11" s="35">
        <f>CSV!L4</f>
        <v>598990.0969</v>
      </c>
      <c r="L11" s="35">
        <f>CSV!M4</f>
        <v>647359.1882</v>
      </c>
      <c r="M11" s="35">
        <f>CSV!N4</f>
        <v>662874.2612</v>
      </c>
      <c r="N11" s="35">
        <f>CSV!O4</f>
        <v>687435.4777</v>
      </c>
      <c r="O11" s="35">
        <f t="shared" si="7"/>
        <v>6314099.059</v>
      </c>
      <c r="P11" s="38">
        <f t="shared" ref="P11:P13" si="10">O11/$O$7</f>
        <v>0.2420754209</v>
      </c>
      <c r="Q11" s="26"/>
      <c r="R11" s="29" t="s">
        <v>80</v>
      </c>
      <c r="S11" s="8"/>
    </row>
    <row r="12">
      <c r="B12" s="30" t="s">
        <v>103</v>
      </c>
      <c r="C12" s="35">
        <f>(CSV!D7*400)</f>
        <v>29200</v>
      </c>
      <c r="D12" s="35">
        <f>(CSV!E7*400)</f>
        <v>32000</v>
      </c>
      <c r="E12" s="35">
        <f>(CSV!F7*400)</f>
        <v>33200</v>
      </c>
      <c r="F12" s="35">
        <f>(CSV!G7*400)</f>
        <v>37200</v>
      </c>
      <c r="G12" s="35">
        <f>(CSV!H7*400)</f>
        <v>38800</v>
      </c>
      <c r="H12" s="35">
        <f>(CSV!I7*400)</f>
        <v>39200</v>
      </c>
      <c r="I12" s="35">
        <f>(CSV!J7*400)</f>
        <v>41600</v>
      </c>
      <c r="J12" s="35">
        <f>(CSV!K7*400)</f>
        <v>43200</v>
      </c>
      <c r="K12" s="35">
        <f>(CSV!L7*400)</f>
        <v>44000</v>
      </c>
      <c r="L12" s="35">
        <f>(CSV!M7*400)</f>
        <v>46400</v>
      </c>
      <c r="M12" s="35">
        <f>(CSV!N7*400)</f>
        <v>47600</v>
      </c>
      <c r="N12" s="35">
        <f>(CSV!O7*400)</f>
        <v>48800</v>
      </c>
      <c r="O12" s="35">
        <f t="shared" si="7"/>
        <v>481200</v>
      </c>
      <c r="P12" s="38">
        <f t="shared" si="10"/>
        <v>0.01844866409</v>
      </c>
      <c r="Q12" s="39"/>
      <c r="R12" s="30" t="s">
        <v>94</v>
      </c>
      <c r="S12" s="33">
        <v>0.06</v>
      </c>
    </row>
    <row r="13">
      <c r="B13" s="30" t="s">
        <v>104</v>
      </c>
      <c r="C13" s="35">
        <f>'SG&amp;A'!C42</f>
        <v>41540</v>
      </c>
      <c r="D13" s="35">
        <f>'SG&amp;A'!D42</f>
        <v>41932</v>
      </c>
      <c r="E13" s="35">
        <f>'SG&amp;A'!E42</f>
        <v>42177</v>
      </c>
      <c r="F13" s="35">
        <f>'SG&amp;A'!F42</f>
        <v>44635</v>
      </c>
      <c r="G13" s="35">
        <f>'SG&amp;A'!G42</f>
        <v>44831</v>
      </c>
      <c r="H13" s="35">
        <f>'SG&amp;A'!H42</f>
        <v>44929</v>
      </c>
      <c r="I13" s="35">
        <f>'SG&amp;A'!I42</f>
        <v>62293</v>
      </c>
      <c r="J13" s="35">
        <f>'SG&amp;A'!J42</f>
        <v>47538</v>
      </c>
      <c r="K13" s="35">
        <f>'SG&amp;A'!K42</f>
        <v>47685</v>
      </c>
      <c r="L13" s="35">
        <f>'SG&amp;A'!L42</f>
        <v>49098</v>
      </c>
      <c r="M13" s="35">
        <f>'SG&amp;A'!M42</f>
        <v>49245</v>
      </c>
      <c r="N13" s="35">
        <f>'SG&amp;A'!N42</f>
        <v>49441</v>
      </c>
      <c r="O13" s="35">
        <f t="shared" si="7"/>
        <v>565344</v>
      </c>
      <c r="P13" s="38">
        <f t="shared" si="10"/>
        <v>0.02167464994</v>
      </c>
      <c r="Q13" s="39"/>
    </row>
    <row r="14">
      <c r="B14" s="12" t="s">
        <v>105</v>
      </c>
      <c r="C14" s="37">
        <f t="shared" ref="C14:N14" si="11">C10-C11-C12-C13</f>
        <v>782932.9679</v>
      </c>
      <c r="D14" s="37">
        <f t="shared" si="11"/>
        <v>906868.5396</v>
      </c>
      <c r="E14" s="37">
        <f t="shared" si="11"/>
        <v>934435.8467</v>
      </c>
      <c r="F14" s="37">
        <f t="shared" si="11"/>
        <v>990004.5323</v>
      </c>
      <c r="G14" s="37">
        <f t="shared" si="11"/>
        <v>1111438.647</v>
      </c>
      <c r="H14" s="37">
        <f t="shared" si="11"/>
        <v>1166093.531</v>
      </c>
      <c r="I14" s="37">
        <f t="shared" si="11"/>
        <v>1231997.744</v>
      </c>
      <c r="J14" s="37">
        <f t="shared" si="11"/>
        <v>1368496.371</v>
      </c>
      <c r="K14" s="37">
        <f t="shared" si="11"/>
        <v>1403014.164</v>
      </c>
      <c r="L14" s="37">
        <f t="shared" si="11"/>
        <v>1516923.115</v>
      </c>
      <c r="M14" s="37">
        <f t="shared" si="11"/>
        <v>1641766.566</v>
      </c>
      <c r="N14" s="37">
        <f t="shared" si="11"/>
        <v>1681171.551</v>
      </c>
      <c r="O14" s="37">
        <f t="shared" si="7"/>
        <v>14735143.58</v>
      </c>
      <c r="Q14" s="39">
        <f>O14/$O$7</f>
        <v>0.5649287492</v>
      </c>
    </row>
    <row r="15">
      <c r="B15" s="30" t="s">
        <v>106</v>
      </c>
      <c r="C15" s="35">
        <f>CAC!C6</f>
        <v>262495.7095</v>
      </c>
      <c r="D15" s="35">
        <f>CAC!D6</f>
        <v>285895.7095</v>
      </c>
      <c r="E15" s="35">
        <f>CAC!E6</f>
        <v>311895.7095</v>
      </c>
      <c r="F15" s="35">
        <f>CAC!F6</f>
        <v>337573.7742</v>
      </c>
      <c r="G15" s="35">
        <f>CAC!G6</f>
        <v>422573.7742</v>
      </c>
      <c r="H15" s="35">
        <f>CAC!H6</f>
        <v>362573.7742</v>
      </c>
      <c r="I15" s="35">
        <f>CAC!I6</f>
        <v>453925.1753</v>
      </c>
      <c r="J15" s="35">
        <f>CAC!J6</f>
        <v>371925.1753</v>
      </c>
      <c r="K15" s="35">
        <f>CAC!K6</f>
        <v>384925.1753</v>
      </c>
      <c r="L15" s="35">
        <f>CAC!L6</f>
        <v>420776.5765</v>
      </c>
      <c r="M15" s="35">
        <f>CAC!M6</f>
        <v>405776.5765</v>
      </c>
      <c r="N15" s="35">
        <f>CAC!N6</f>
        <v>428776.5765</v>
      </c>
      <c r="O15" s="35">
        <f t="shared" si="7"/>
        <v>4449113.707</v>
      </c>
      <c r="P15" s="38">
        <f t="shared" ref="P15:P16" si="12">O15/$O$7</f>
        <v>0.1705739906</v>
      </c>
      <c r="Q15" s="26"/>
    </row>
    <row r="16">
      <c r="B16" s="30" t="s">
        <v>107</v>
      </c>
      <c r="C16" s="35">
        <f>'SG&amp;A'!C6-C12-C13</f>
        <v>227706</v>
      </c>
      <c r="D16" s="35">
        <f>'SG&amp;A'!D6-D12-D13</f>
        <v>218106</v>
      </c>
      <c r="E16" s="35">
        <f>'SG&amp;A'!E6-E12-E13</f>
        <v>218906</v>
      </c>
      <c r="F16" s="35">
        <f>'SG&amp;A'!F6-F12-F13</f>
        <v>210206</v>
      </c>
      <c r="G16" s="35">
        <f>'SG&amp;A'!G6-G12-G13</f>
        <v>211206</v>
      </c>
      <c r="H16" s="35">
        <f>'SG&amp;A'!H6-H12-H13</f>
        <v>215606</v>
      </c>
      <c r="I16" s="35">
        <f>'SG&amp;A'!I6-I12-I13</f>
        <v>213606</v>
      </c>
      <c r="J16" s="35">
        <f>'SG&amp;A'!J6-J12-J13</f>
        <v>214006</v>
      </c>
      <c r="K16" s="35">
        <f>'SG&amp;A'!K6-K12-K13</f>
        <v>214406</v>
      </c>
      <c r="L16" s="35">
        <f>'SG&amp;A'!L6-L12-L13</f>
        <v>234506</v>
      </c>
      <c r="M16" s="35">
        <f>'SG&amp;A'!M6-M12-M13</f>
        <v>244806</v>
      </c>
      <c r="N16" s="35">
        <f>'SG&amp;A'!N6-N12-N13</f>
        <v>265606</v>
      </c>
      <c r="O16" s="35">
        <f t="shared" si="7"/>
        <v>2688672</v>
      </c>
      <c r="P16" s="38">
        <f t="shared" si="12"/>
        <v>0.1030806454</v>
      </c>
      <c r="Q16" s="26"/>
    </row>
    <row r="17">
      <c r="B17" s="30" t="s">
        <v>108</v>
      </c>
      <c r="C17" s="34">
        <v>54000.0</v>
      </c>
      <c r="D17" s="34">
        <v>23000.0</v>
      </c>
      <c r="E17" s="34">
        <v>23000.0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9"/>
      <c r="Q17" s="26"/>
    </row>
    <row r="18">
      <c r="B18" s="12" t="s">
        <v>109</v>
      </c>
      <c r="C18" s="37">
        <f t="shared" ref="C18:O18" si="13">C14-C15-C16-C17</f>
        <v>238731.2584</v>
      </c>
      <c r="D18" s="37">
        <f t="shared" si="13"/>
        <v>379866.8301</v>
      </c>
      <c r="E18" s="37">
        <f t="shared" si="13"/>
        <v>380634.1373</v>
      </c>
      <c r="F18" s="37">
        <f t="shared" si="13"/>
        <v>442224.7582</v>
      </c>
      <c r="G18" s="37">
        <f t="shared" si="13"/>
        <v>477658.8726</v>
      </c>
      <c r="H18" s="37">
        <f t="shared" si="13"/>
        <v>587913.7573</v>
      </c>
      <c r="I18" s="37">
        <f t="shared" si="13"/>
        <v>564466.5691</v>
      </c>
      <c r="J18" s="37">
        <f t="shared" si="13"/>
        <v>782565.1957</v>
      </c>
      <c r="K18" s="37">
        <f t="shared" si="13"/>
        <v>803682.9884</v>
      </c>
      <c r="L18" s="37">
        <f t="shared" si="13"/>
        <v>861640.5389</v>
      </c>
      <c r="M18" s="37">
        <f t="shared" si="13"/>
        <v>991183.9895</v>
      </c>
      <c r="N18" s="37">
        <f t="shared" si="13"/>
        <v>986788.9744</v>
      </c>
      <c r="O18" s="37">
        <f t="shared" si="13"/>
        <v>7597357.87</v>
      </c>
      <c r="P18" s="39"/>
      <c r="Q18" s="39">
        <f>O18/$O$7</f>
        <v>0.2912741132</v>
      </c>
    </row>
    <row r="19">
      <c r="B19" s="30" t="s">
        <v>110</v>
      </c>
      <c r="C19" s="35">
        <f>'Tributário'!F14</f>
        <v>99528.62786</v>
      </c>
      <c r="D19" s="35">
        <f>'Tributário'!G14</f>
        <v>136974.7222</v>
      </c>
      <c r="E19" s="35">
        <f>'Tributário'!H14</f>
        <v>137235.6067</v>
      </c>
      <c r="F19" s="35">
        <f>'Tributário'!I14</f>
        <v>150356.4178</v>
      </c>
      <c r="G19" s="35">
        <f>'Tributário'!J14</f>
        <v>162404.0167</v>
      </c>
      <c r="H19" s="35">
        <f>'Tributário'!K14</f>
        <v>199890.6775</v>
      </c>
      <c r="I19" s="35">
        <f>'Tributário'!L14</f>
        <v>191918.6335</v>
      </c>
      <c r="J19" s="35">
        <f>'Tributário'!M14</f>
        <v>266072.1666</v>
      </c>
      <c r="K19" s="35">
        <f>'Tributário'!N14</f>
        <v>273252.2161</v>
      </c>
      <c r="L19" s="35">
        <f>'Tributário'!O14</f>
        <v>292957.7832</v>
      </c>
      <c r="M19" s="35">
        <f>'Tributário'!P14</f>
        <v>337002.5564</v>
      </c>
      <c r="N19" s="35">
        <f>'Tributário'!Q14</f>
        <v>335508.2513</v>
      </c>
      <c r="O19" s="35">
        <f t="shared" ref="O19:O20" si="14">sum(C19:N19)</f>
        <v>2583101.676</v>
      </c>
      <c r="P19" s="38">
        <f t="shared" ref="P19:P21" si="15">O19/$O$7</f>
        <v>0.0990331985</v>
      </c>
      <c r="Q19" s="26"/>
    </row>
    <row r="20">
      <c r="B20" s="30" t="s">
        <v>111</v>
      </c>
      <c r="C20" s="34">
        <f>'CAPEX e Giro'!D5</f>
        <v>35000</v>
      </c>
      <c r="D20" s="34">
        <f>'CAPEX e Giro'!E5</f>
        <v>35000</v>
      </c>
      <c r="E20" s="34">
        <f>'CAPEX e Giro'!F5</f>
        <v>35000</v>
      </c>
      <c r="F20" s="34">
        <f>'CAPEX e Giro'!G5</f>
        <v>35000</v>
      </c>
      <c r="G20" s="34">
        <f>'CAPEX e Giro'!H5</f>
        <v>35000</v>
      </c>
      <c r="H20" s="34">
        <f>'CAPEX e Giro'!I5</f>
        <v>35000</v>
      </c>
      <c r="I20" s="34">
        <f>'CAPEX e Giro'!J5</f>
        <v>35000</v>
      </c>
      <c r="J20" s="34">
        <f>'CAPEX e Giro'!K5</f>
        <v>35000</v>
      </c>
      <c r="K20" s="34">
        <f>'CAPEX e Giro'!L5</f>
        <v>35000</v>
      </c>
      <c r="L20" s="34">
        <f>'CAPEX e Giro'!M5</f>
        <v>35000</v>
      </c>
      <c r="M20" s="34">
        <f>'CAPEX e Giro'!N5</f>
        <v>35000</v>
      </c>
      <c r="N20" s="34">
        <f>'CAPEX e Giro'!O5</f>
        <v>35000</v>
      </c>
      <c r="O20" s="35">
        <f t="shared" si="14"/>
        <v>420000</v>
      </c>
      <c r="P20" s="38">
        <f t="shared" si="15"/>
        <v>0.01610232526</v>
      </c>
      <c r="Q20" s="26"/>
    </row>
    <row r="21">
      <c r="B21" s="12" t="s">
        <v>112</v>
      </c>
      <c r="C21" s="37">
        <f t="shared" ref="C21:O21" si="16">C18-C19-C20</f>
        <v>104202.6306</v>
      </c>
      <c r="D21" s="37">
        <f t="shared" si="16"/>
        <v>207892.1079</v>
      </c>
      <c r="E21" s="37">
        <f t="shared" si="16"/>
        <v>208398.5306</v>
      </c>
      <c r="F21" s="37">
        <f t="shared" si="16"/>
        <v>256868.3404</v>
      </c>
      <c r="G21" s="37">
        <f t="shared" si="16"/>
        <v>280254.8559</v>
      </c>
      <c r="H21" s="37">
        <f t="shared" si="16"/>
        <v>353023.0798</v>
      </c>
      <c r="I21" s="37">
        <f t="shared" si="16"/>
        <v>337547.9356</v>
      </c>
      <c r="J21" s="37">
        <f t="shared" si="16"/>
        <v>481493.0292</v>
      </c>
      <c r="K21" s="37">
        <f t="shared" si="16"/>
        <v>495430.7724</v>
      </c>
      <c r="L21" s="37">
        <f t="shared" si="16"/>
        <v>533682.7557</v>
      </c>
      <c r="M21" s="37">
        <f t="shared" si="16"/>
        <v>619181.433</v>
      </c>
      <c r="N21" s="37">
        <f t="shared" si="16"/>
        <v>616280.7231</v>
      </c>
      <c r="O21" s="37">
        <f t="shared" si="16"/>
        <v>4594256.194</v>
      </c>
      <c r="P21" s="40">
        <f t="shared" si="15"/>
        <v>0.1761385895</v>
      </c>
    </row>
    <row r="22">
      <c r="B22" s="30" t="s">
        <v>113</v>
      </c>
      <c r="C22" s="38">
        <f t="shared" ref="C22:N22" si="17">C21/C7</f>
        <v>0.07350550611</v>
      </c>
      <c r="D22" s="38">
        <f t="shared" si="17"/>
        <v>0.1292747609</v>
      </c>
      <c r="E22" s="38">
        <f t="shared" si="17"/>
        <v>0.1252196236</v>
      </c>
      <c r="F22" s="38">
        <f t="shared" si="17"/>
        <v>0.1413795839</v>
      </c>
      <c r="G22" s="38">
        <f t="shared" si="17"/>
        <v>0.14093555</v>
      </c>
      <c r="H22" s="38">
        <f t="shared" si="17"/>
        <v>0.1711798979</v>
      </c>
      <c r="I22" s="38">
        <f t="shared" si="17"/>
        <v>0.1509977347</v>
      </c>
      <c r="J22" s="38">
        <f t="shared" si="17"/>
        <v>0.1996790503</v>
      </c>
      <c r="K22" s="38">
        <f t="shared" si="17"/>
        <v>0.2005187413</v>
      </c>
      <c r="L22" s="38">
        <f t="shared" si="17"/>
        <v>0.2001821364</v>
      </c>
      <c r="M22" s="38">
        <f t="shared" si="17"/>
        <v>0.2185942008</v>
      </c>
      <c r="N22" s="38">
        <f t="shared" si="17"/>
        <v>0.2118243892</v>
      </c>
      <c r="O22" s="38"/>
      <c r="P22" s="39"/>
    </row>
    <row r="23">
      <c r="C23" s="39"/>
      <c r="D23" s="39"/>
      <c r="E23" s="39"/>
      <c r="F23" s="39"/>
      <c r="G23" s="39"/>
      <c r="O23" s="25"/>
    </row>
    <row r="24">
      <c r="B24" s="28" t="s">
        <v>114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25"/>
      <c r="P24" s="26"/>
      <c r="Q24" s="26"/>
    </row>
    <row r="25">
      <c r="B25" s="31" t="s">
        <v>115</v>
      </c>
      <c r="C25" s="35">
        <f t="shared" ref="C25:N25" si="18">C7-C8</f>
        <v>1332559.667</v>
      </c>
      <c r="D25" s="35">
        <f t="shared" si="18"/>
        <v>1511653.01</v>
      </c>
      <c r="E25" s="35">
        <f t="shared" si="18"/>
        <v>1564408.303</v>
      </c>
      <c r="F25" s="35">
        <f t="shared" si="18"/>
        <v>1707857.905</v>
      </c>
      <c r="G25" s="35">
        <f t="shared" si="18"/>
        <v>1869220.113</v>
      </c>
      <c r="H25" s="35">
        <f t="shared" si="18"/>
        <v>1938555.28</v>
      </c>
      <c r="I25" s="35">
        <f t="shared" si="18"/>
        <v>2101323.309</v>
      </c>
      <c r="J25" s="35">
        <f t="shared" si="18"/>
        <v>2266654.648</v>
      </c>
      <c r="K25" s="35">
        <f t="shared" si="18"/>
        <v>2322500.744</v>
      </c>
      <c r="L25" s="35">
        <f t="shared" si="18"/>
        <v>2506026.759</v>
      </c>
      <c r="M25" s="35">
        <f t="shared" si="18"/>
        <v>2662607.448</v>
      </c>
      <c r="N25" s="35">
        <f t="shared" si="18"/>
        <v>2734830.875</v>
      </c>
      <c r="O25" s="25"/>
      <c r="P25" s="26"/>
      <c r="Q25" s="26"/>
    </row>
    <row r="26">
      <c r="B26" s="31" t="s">
        <v>116</v>
      </c>
      <c r="C26" s="35">
        <f t="shared" ref="C26:N26" si="19">C9+C11+C15+C16+C19+C20+C12+C13+C17</f>
        <v>1228357.036</v>
      </c>
      <c r="D26" s="35">
        <f t="shared" si="19"/>
        <v>1303760.902</v>
      </c>
      <c r="E26" s="35">
        <f t="shared" si="19"/>
        <v>1356009.772</v>
      </c>
      <c r="F26" s="35">
        <f t="shared" si="19"/>
        <v>1450989.564</v>
      </c>
      <c r="G26" s="35">
        <f t="shared" si="19"/>
        <v>1588965.257</v>
      </c>
      <c r="H26" s="35">
        <f t="shared" si="19"/>
        <v>1585532.201</v>
      </c>
      <c r="I26" s="35">
        <f t="shared" si="19"/>
        <v>1763775.373</v>
      </c>
      <c r="J26" s="35">
        <f t="shared" si="19"/>
        <v>1785161.619</v>
      </c>
      <c r="K26" s="35">
        <f t="shared" si="19"/>
        <v>1827069.972</v>
      </c>
      <c r="L26" s="35">
        <f t="shared" si="19"/>
        <v>1972344.003</v>
      </c>
      <c r="M26" s="35">
        <f t="shared" si="19"/>
        <v>2043426.015</v>
      </c>
      <c r="N26" s="35">
        <f t="shared" si="19"/>
        <v>2118550.152</v>
      </c>
      <c r="O26" s="25"/>
      <c r="P26" s="26"/>
      <c r="Q26" s="26"/>
    </row>
    <row r="27">
      <c r="B27" s="31" t="s">
        <v>117</v>
      </c>
      <c r="C27" s="35">
        <f>CAC!Q7</f>
        <v>215000</v>
      </c>
      <c r="D27" s="35">
        <f>CAC!R7</f>
        <v>215000</v>
      </c>
      <c r="E27" s="35">
        <f>CAC!S7</f>
        <v>215000</v>
      </c>
      <c r="F27" s="35">
        <f>CAC!T7</f>
        <v>240000</v>
      </c>
      <c r="G27" s="35">
        <f>CAC!U7</f>
        <v>240000</v>
      </c>
      <c r="H27" s="35">
        <f>CAC!V7</f>
        <v>240000</v>
      </c>
      <c r="I27" s="35">
        <f>CAC!W7</f>
        <v>270000</v>
      </c>
      <c r="J27" s="35">
        <f>CAC!X7</f>
        <v>270000</v>
      </c>
      <c r="K27" s="35">
        <f>CAC!Y7</f>
        <v>270000</v>
      </c>
      <c r="L27" s="35">
        <f>CAC!Z7</f>
        <v>300000</v>
      </c>
      <c r="M27" s="35">
        <f>CAC!AA7</f>
        <v>300000</v>
      </c>
      <c r="N27" s="35">
        <f>CAC!AB7</f>
        <v>300000</v>
      </c>
      <c r="O27" s="25"/>
      <c r="P27" s="26"/>
      <c r="Q27" s="26"/>
    </row>
    <row r="28">
      <c r="B28" s="31" t="s">
        <v>118</v>
      </c>
      <c r="C28" s="35">
        <f>CAC!Q38</f>
        <v>270000</v>
      </c>
      <c r="D28" s="35">
        <f>CAC!R38</f>
        <v>270000</v>
      </c>
      <c r="E28" s="35">
        <f>CAC!S38</f>
        <v>270000</v>
      </c>
      <c r="F28" s="35">
        <f>CAC!T38</f>
        <v>325000</v>
      </c>
      <c r="G28" s="35">
        <f>CAC!U38</f>
        <v>325000</v>
      </c>
      <c r="H28" s="35">
        <f>CAC!V38</f>
        <v>325000</v>
      </c>
      <c r="I28" s="35">
        <f>CAC!W38</f>
        <v>380000</v>
      </c>
      <c r="J28" s="35">
        <f>CAC!X38</f>
        <v>380000</v>
      </c>
      <c r="K28" s="35">
        <f>CAC!Y38</f>
        <v>380000</v>
      </c>
      <c r="L28" s="35">
        <f>CAC!Z38</f>
        <v>435000</v>
      </c>
      <c r="M28" s="35">
        <f>CAC!AA38</f>
        <v>435000</v>
      </c>
      <c r="N28" s="35">
        <f>CAC!AB38</f>
        <v>435000</v>
      </c>
      <c r="O28" s="25"/>
      <c r="P28" s="26"/>
      <c r="Q28" s="26"/>
      <c r="R28" s="41"/>
    </row>
    <row r="29">
      <c r="B29" s="31" t="s">
        <v>119</v>
      </c>
      <c r="C29" s="42">
        <f t="shared" ref="C29:N29" si="20">C42</f>
        <v>109</v>
      </c>
      <c r="D29" s="42">
        <f t="shared" si="20"/>
        <v>117</v>
      </c>
      <c r="E29" s="42">
        <f t="shared" si="20"/>
        <v>122</v>
      </c>
      <c r="F29" s="42">
        <f t="shared" si="20"/>
        <v>134</v>
      </c>
      <c r="G29" s="42">
        <f t="shared" si="20"/>
        <v>138</v>
      </c>
      <c r="H29" s="42">
        <f t="shared" si="20"/>
        <v>140</v>
      </c>
      <c r="I29" s="42">
        <f t="shared" si="20"/>
        <v>146</v>
      </c>
      <c r="J29" s="42">
        <f t="shared" si="20"/>
        <v>151</v>
      </c>
      <c r="K29" s="42">
        <f t="shared" si="20"/>
        <v>154</v>
      </c>
      <c r="L29" s="42">
        <f t="shared" si="20"/>
        <v>161</v>
      </c>
      <c r="M29" s="42">
        <f t="shared" si="20"/>
        <v>164</v>
      </c>
      <c r="N29" s="42">
        <f t="shared" si="20"/>
        <v>168</v>
      </c>
      <c r="O29" s="25"/>
      <c r="P29" s="26"/>
      <c r="Q29" s="26"/>
    </row>
    <row r="30">
      <c r="B30" s="31" t="s">
        <v>120</v>
      </c>
      <c r="C30" s="35">
        <f t="shared" ref="C30:N30" si="21">C7/C29</f>
        <v>13005.65749</v>
      </c>
      <c r="D30" s="35">
        <f t="shared" si="21"/>
        <v>13744.79915</v>
      </c>
      <c r="E30" s="35">
        <f t="shared" si="21"/>
        <v>13641.50944</v>
      </c>
      <c r="F30" s="35">
        <f t="shared" si="21"/>
        <v>13558.73217</v>
      </c>
      <c r="G30" s="35">
        <f t="shared" si="21"/>
        <v>14409.65243</v>
      </c>
      <c r="H30" s="35">
        <f t="shared" si="21"/>
        <v>14730.66323</v>
      </c>
      <c r="I30" s="35">
        <f t="shared" si="21"/>
        <v>15311.30362</v>
      </c>
      <c r="J30" s="35">
        <f t="shared" si="21"/>
        <v>15969.10419</v>
      </c>
      <c r="K30" s="35">
        <f t="shared" si="21"/>
        <v>16043.80177</v>
      </c>
      <c r="L30" s="35">
        <f t="shared" si="21"/>
        <v>16558.91872</v>
      </c>
      <c r="M30" s="35">
        <f t="shared" si="21"/>
        <v>17271.71411</v>
      </c>
      <c r="N30" s="35">
        <f t="shared" si="21"/>
        <v>17317.82469</v>
      </c>
      <c r="O30" s="43">
        <f>N30/C30-1</f>
        <v>0.3315608764</v>
      </c>
      <c r="P30" s="26"/>
      <c r="Q30" s="26"/>
    </row>
    <row r="31">
      <c r="B31" s="31" t="s">
        <v>121</v>
      </c>
      <c r="C31" s="35">
        <f t="shared" ref="C31:N31" si="22">C4/C29</f>
        <v>10613.30275</v>
      </c>
      <c r="D31" s="35">
        <f t="shared" si="22"/>
        <v>10835.32906</v>
      </c>
      <c r="E31" s="35">
        <f t="shared" si="22"/>
        <v>11218.34004</v>
      </c>
      <c r="F31" s="35">
        <f t="shared" si="22"/>
        <v>11085.52322</v>
      </c>
      <c r="G31" s="35">
        <f t="shared" si="22"/>
        <v>11534.55581</v>
      </c>
      <c r="H31" s="35">
        <f t="shared" si="22"/>
        <v>12060.78227</v>
      </c>
      <c r="I31" s="35">
        <f t="shared" si="22"/>
        <v>12373.58672</v>
      </c>
      <c r="J31" s="35">
        <f t="shared" si="22"/>
        <v>12675.1969</v>
      </c>
      <c r="K31" s="35">
        <f t="shared" si="22"/>
        <v>13062.97926</v>
      </c>
      <c r="L31" s="35">
        <f t="shared" si="22"/>
        <v>13233.82555</v>
      </c>
      <c r="M31" s="35">
        <f t="shared" si="22"/>
        <v>13651.75476</v>
      </c>
      <c r="N31" s="35">
        <f t="shared" si="22"/>
        <v>13913.0231</v>
      </c>
      <c r="O31" s="25"/>
      <c r="P31" s="26"/>
      <c r="Q31" s="26"/>
    </row>
    <row r="32">
      <c r="B32" s="31" t="s">
        <v>122</v>
      </c>
      <c r="C32" s="44">
        <f t="shared" ref="C32:J32" si="23">C33/1.38</f>
        <v>300.6697723</v>
      </c>
      <c r="D32" s="44">
        <f t="shared" si="23"/>
        <v>330.2517018</v>
      </c>
      <c r="E32" s="44">
        <f t="shared" si="23"/>
        <v>352.0054142</v>
      </c>
      <c r="F32" s="44">
        <f t="shared" si="23"/>
        <v>377.7829102</v>
      </c>
      <c r="G32" s="44">
        <f t="shared" si="23"/>
        <v>402.4349196</v>
      </c>
      <c r="H32" s="44">
        <f t="shared" si="23"/>
        <v>423.7874974</v>
      </c>
      <c r="I32" s="44">
        <f t="shared" si="23"/>
        <v>449.2234069</v>
      </c>
      <c r="J32" s="44">
        <f t="shared" si="23"/>
        <v>474.6896009</v>
      </c>
      <c r="K32" s="44">
        <f>K33/1.37</f>
        <v>500.4240891</v>
      </c>
      <c r="L32" s="44">
        <f t="shared" ref="L32:N32" si="24">L33/1.4</f>
        <v>515.4621199</v>
      </c>
      <c r="M32" s="44">
        <f t="shared" si="24"/>
        <v>541.1927598</v>
      </c>
      <c r="N32" s="44">
        <f t="shared" si="24"/>
        <v>563.5656588</v>
      </c>
      <c r="O32" s="25"/>
      <c r="P32" s="26"/>
      <c r="Q32" s="26"/>
    </row>
    <row r="33">
      <c r="B33" s="31" t="s">
        <v>123</v>
      </c>
      <c r="C33" s="45">
        <f>CSV!C12+CSV!C85+CSV!C141+CSV!C202+CSV!C225+CAC!Q42+CAC!Q47+CAC!Q52+CAC!Q57+CAC!Q62+CAC!Q67</f>
        <v>414.9242857</v>
      </c>
      <c r="D33" s="45">
        <f>CSV!D12+CSV!D85+CSV!D141+CSV!D202+CSV!D225+CAC!R42+CAC!R47+CAC!R52+CAC!R57+CAC!R62+CAC!R67</f>
        <v>455.7473485</v>
      </c>
      <c r="E33" s="45">
        <f>CSV!E12+CSV!E85+CSV!E141+CSV!E202+CSV!E225+CAC!S42+CAC!S47+CAC!S52+CAC!S57+CAC!S62+CAC!S67</f>
        <v>485.7674716</v>
      </c>
      <c r="F33" s="45">
        <f>CSV!F12+CSV!F85+CSV!F141+CSV!F202+CSV!F225+CAC!T42+CAC!T47+CAC!T52+CAC!T57+CAC!T62+CAC!T67</f>
        <v>521.340416</v>
      </c>
      <c r="G33" s="45">
        <f>CSV!G12+CSV!G85+CSV!G141+CSV!G202+CSV!G225+CAC!U42+CAC!U47+CAC!U52+CAC!U57+CAC!U62+CAC!U67</f>
        <v>555.360189</v>
      </c>
      <c r="H33" s="45">
        <f>CSV!H12+CSV!H85+CSV!H141+CSV!H202+CSV!H225+CAC!V42+CAC!V47+CAC!V52+CAC!V57+CAC!V62+CAC!V67</f>
        <v>584.8267464</v>
      </c>
      <c r="I33" s="45">
        <f>CSV!I12+CSV!I85+CSV!I141+CSV!I202+CSV!I225+CAC!W42+CAC!W47+CAC!W52+CAC!W57+CAC!W62+CAC!W67</f>
        <v>619.9283016</v>
      </c>
      <c r="J33" s="45">
        <f>CSV!J12+CSV!J85+CSV!J141+CSV!J202+CSV!J225+CAC!X42+CAC!X47+CAC!X52+CAC!X57+CAC!X62+CAC!X67</f>
        <v>655.0716493</v>
      </c>
      <c r="K33" s="45">
        <f>CSV!K12+CSV!K85+CSV!K141+CSV!K202+CSV!K225+CAC!Y42+CAC!Y47+CAC!Y52+CAC!Y57+CAC!Y62+CAC!Y67</f>
        <v>685.5810021</v>
      </c>
      <c r="L33" s="45">
        <f>CSV!L12+CSV!L85+CSV!L141+CSV!L202+CSV!L225+CAC!Z42+CAC!Z47+CAC!Z52+CAC!Z57+CAC!Z62+CAC!Z67</f>
        <v>721.6469678</v>
      </c>
      <c r="M33" s="45">
        <f>CSV!M12+CSV!M85+CSV!M141+CSV!M202+CSV!M225+CAC!AA42+CAC!AA47+CAC!AA52+CAC!AA57+CAC!AA62+CAC!AA67</f>
        <v>757.6698637</v>
      </c>
      <c r="N33" s="45">
        <f>CSV!N12+CSV!N85+CSV!N141+CSV!N202+CSV!N225+CAC!AB42+CAC!AB47+CAC!AB52+CAC!AB57+CAC!AB62+CAC!AB67</f>
        <v>788.9919223</v>
      </c>
      <c r="O33" s="25"/>
      <c r="P33" s="26"/>
      <c r="Q33" s="26"/>
    </row>
    <row r="34">
      <c r="B34" s="31" t="s">
        <v>124</v>
      </c>
      <c r="C34" s="35">
        <f t="shared" ref="C34:N34" si="25">C7/C32</f>
        <v>4714.862608</v>
      </c>
      <c r="D34" s="35">
        <f t="shared" si="25"/>
        <v>4869.441978</v>
      </c>
      <c r="E34" s="35">
        <f t="shared" si="25"/>
        <v>4727.950436</v>
      </c>
      <c r="F34" s="35">
        <f t="shared" si="25"/>
        <v>4809.296721</v>
      </c>
      <c r="G34" s="35">
        <f t="shared" si="25"/>
        <v>4941.251213</v>
      </c>
      <c r="H34" s="35">
        <f t="shared" si="25"/>
        <v>4866.337172</v>
      </c>
      <c r="I34" s="35">
        <f t="shared" si="25"/>
        <v>4976.25523</v>
      </c>
      <c r="J34" s="35">
        <f t="shared" si="25"/>
        <v>5079.813687</v>
      </c>
      <c r="K34" s="35">
        <f t="shared" si="25"/>
        <v>4937.303233</v>
      </c>
      <c r="L34" s="35">
        <f t="shared" si="25"/>
        <v>5172.03071</v>
      </c>
      <c r="M34" s="35">
        <f t="shared" si="25"/>
        <v>5233.922781</v>
      </c>
      <c r="N34" s="35">
        <f t="shared" si="25"/>
        <v>5162.476638</v>
      </c>
      <c r="O34" s="25"/>
      <c r="P34" s="26"/>
      <c r="Q34" s="26"/>
    </row>
    <row r="35">
      <c r="B35" s="31" t="s">
        <v>125</v>
      </c>
      <c r="C35" s="35">
        <f t="shared" ref="C35:N35" si="26">C7/C33</f>
        <v>3416.567107</v>
      </c>
      <c r="D35" s="35">
        <f t="shared" si="26"/>
        <v>3528.581143</v>
      </c>
      <c r="E35" s="35">
        <f t="shared" si="26"/>
        <v>3426.051041</v>
      </c>
      <c r="F35" s="35">
        <f t="shared" si="26"/>
        <v>3484.997624</v>
      </c>
      <c r="G35" s="35">
        <f t="shared" si="26"/>
        <v>3580.616821</v>
      </c>
      <c r="H35" s="35">
        <f t="shared" si="26"/>
        <v>3526.331284</v>
      </c>
      <c r="I35" s="35">
        <f t="shared" si="26"/>
        <v>3605.982051</v>
      </c>
      <c r="J35" s="35">
        <f t="shared" si="26"/>
        <v>3681.024411</v>
      </c>
      <c r="K35" s="35">
        <f t="shared" si="26"/>
        <v>3603.870973</v>
      </c>
      <c r="L35" s="35">
        <f t="shared" si="26"/>
        <v>3694.30765</v>
      </c>
      <c r="M35" s="35">
        <f t="shared" si="26"/>
        <v>3738.516272</v>
      </c>
      <c r="N35" s="35">
        <f t="shared" si="26"/>
        <v>3687.483313</v>
      </c>
      <c r="O35" s="25"/>
      <c r="P35" s="26"/>
      <c r="Q35" s="26"/>
    </row>
    <row r="36">
      <c r="B36" s="31" t="s">
        <v>126</v>
      </c>
      <c r="C36" s="35">
        <f>Revenue!D32</f>
        <v>104116.5</v>
      </c>
      <c r="D36" s="35">
        <f>Revenue!E32</f>
        <v>114096.015</v>
      </c>
      <c r="E36" s="35">
        <f>Revenue!F32</f>
        <v>123177.3737</v>
      </c>
      <c r="F36" s="35">
        <f>Revenue!G32</f>
        <v>133691.41</v>
      </c>
      <c r="G36" s="35">
        <f>Revenue!H32</f>
        <v>143259.1831</v>
      </c>
      <c r="H36" s="35">
        <f>Revenue!I32</f>
        <v>151965.8566</v>
      </c>
      <c r="I36" s="35">
        <f>Revenue!J32</f>
        <v>162588.9295</v>
      </c>
      <c r="J36" s="35">
        <f>Revenue!K32</f>
        <v>172255.9259</v>
      </c>
      <c r="K36" s="35">
        <f>Revenue!L32</f>
        <v>181052.8926</v>
      </c>
      <c r="L36" s="35">
        <f>Revenue!M32</f>
        <v>191758.1322</v>
      </c>
      <c r="M36" s="35">
        <f>Revenue!N32</f>
        <v>201499.9003</v>
      </c>
      <c r="N36" s="35">
        <f>Revenue!O32</f>
        <v>210364.9093</v>
      </c>
      <c r="O36" s="25"/>
      <c r="P36" s="26"/>
      <c r="Q36" s="26"/>
    </row>
    <row r="37">
      <c r="B37" s="31" t="s">
        <v>127</v>
      </c>
      <c r="C37" s="40">
        <f t="shared" ref="C37:O37" si="27">(C19+C9)/C7</f>
        <v>0.1641211846</v>
      </c>
      <c r="D37" s="40">
        <f t="shared" si="27"/>
        <v>0.1785420553</v>
      </c>
      <c r="E37" s="40">
        <f t="shared" si="27"/>
        <v>0.1756893733</v>
      </c>
      <c r="F37" s="40">
        <f t="shared" si="27"/>
        <v>0.1765546308</v>
      </c>
      <c r="G37" s="40">
        <f t="shared" si="27"/>
        <v>0.1750808307</v>
      </c>
      <c r="H37" s="40">
        <f t="shared" si="27"/>
        <v>0.1901899344</v>
      </c>
      <c r="I37" s="40">
        <f t="shared" si="27"/>
        <v>0.1788088314</v>
      </c>
      <c r="J37" s="40">
        <f t="shared" si="27"/>
        <v>0.2030320655</v>
      </c>
      <c r="K37" s="40">
        <f t="shared" si="27"/>
        <v>0.2032033268</v>
      </c>
      <c r="L37" s="40">
        <f t="shared" si="27"/>
        <v>0.2022532211</v>
      </c>
      <c r="M37" s="40">
        <f t="shared" si="27"/>
        <v>0.2111602019</v>
      </c>
      <c r="N37" s="40">
        <f t="shared" si="27"/>
        <v>0.2074284143</v>
      </c>
      <c r="O37" s="40">
        <f t="shared" si="27"/>
        <v>0.1919057144</v>
      </c>
      <c r="P37" s="26"/>
      <c r="Q37" s="26"/>
    </row>
    <row r="38">
      <c r="B38" s="31" t="s">
        <v>128</v>
      </c>
      <c r="C38" s="35">
        <f t="shared" ref="C38:N38" si="28">C21</f>
        <v>104202.6306</v>
      </c>
      <c r="D38" s="35">
        <f t="shared" si="28"/>
        <v>207892.1079</v>
      </c>
      <c r="E38" s="35">
        <f t="shared" si="28"/>
        <v>208398.5306</v>
      </c>
      <c r="F38" s="35">
        <f t="shared" si="28"/>
        <v>256868.3404</v>
      </c>
      <c r="G38" s="35">
        <f t="shared" si="28"/>
        <v>280254.8559</v>
      </c>
      <c r="H38" s="35">
        <f t="shared" si="28"/>
        <v>353023.0798</v>
      </c>
      <c r="I38" s="35">
        <f t="shared" si="28"/>
        <v>337547.9356</v>
      </c>
      <c r="J38" s="35">
        <f t="shared" si="28"/>
        <v>481493.0292</v>
      </c>
      <c r="K38" s="35">
        <f t="shared" si="28"/>
        <v>495430.7724</v>
      </c>
      <c r="L38" s="35">
        <f t="shared" si="28"/>
        <v>533682.7557</v>
      </c>
      <c r="M38" s="35">
        <f t="shared" si="28"/>
        <v>619181.433</v>
      </c>
      <c r="N38" s="35">
        <f t="shared" si="28"/>
        <v>616280.7231</v>
      </c>
      <c r="O38" s="25"/>
      <c r="P38" s="26"/>
      <c r="Q38" s="26"/>
    </row>
    <row r="39">
      <c r="B39" s="31" t="s">
        <v>129</v>
      </c>
      <c r="C39" s="40">
        <f t="shared" ref="C39:N39" si="29">C22</f>
        <v>0.07350550611</v>
      </c>
      <c r="D39" s="40">
        <f t="shared" si="29"/>
        <v>0.1292747609</v>
      </c>
      <c r="E39" s="40">
        <f t="shared" si="29"/>
        <v>0.1252196236</v>
      </c>
      <c r="F39" s="40">
        <f t="shared" si="29"/>
        <v>0.1413795839</v>
      </c>
      <c r="G39" s="40">
        <f t="shared" si="29"/>
        <v>0.14093555</v>
      </c>
      <c r="H39" s="40">
        <f t="shared" si="29"/>
        <v>0.1711798979</v>
      </c>
      <c r="I39" s="40">
        <f t="shared" si="29"/>
        <v>0.1509977347</v>
      </c>
      <c r="J39" s="40">
        <f t="shared" si="29"/>
        <v>0.1996790503</v>
      </c>
      <c r="K39" s="40">
        <f t="shared" si="29"/>
        <v>0.2005187413</v>
      </c>
      <c r="L39" s="40">
        <f t="shared" si="29"/>
        <v>0.2001821364</v>
      </c>
      <c r="M39" s="40">
        <f t="shared" si="29"/>
        <v>0.2185942008</v>
      </c>
      <c r="N39" s="40">
        <f t="shared" si="29"/>
        <v>0.2118243892</v>
      </c>
      <c r="O39" s="40">
        <f>P21</f>
        <v>0.1761385895</v>
      </c>
      <c r="P39" s="32"/>
      <c r="Q39" s="26"/>
    </row>
    <row r="40">
      <c r="B40" s="31" t="s">
        <v>130</v>
      </c>
      <c r="C40" s="35">
        <f>535000+C38</f>
        <v>639202.6306</v>
      </c>
      <c r="D40" s="35">
        <f t="shared" ref="D40:N40" si="30">C40+D38</f>
        <v>847094.7384</v>
      </c>
      <c r="E40" s="35">
        <f t="shared" si="30"/>
        <v>1055493.269</v>
      </c>
      <c r="F40" s="35">
        <f t="shared" si="30"/>
        <v>1312361.609</v>
      </c>
      <c r="G40" s="35">
        <f t="shared" si="30"/>
        <v>1592616.465</v>
      </c>
      <c r="H40" s="35">
        <f t="shared" si="30"/>
        <v>1945639.545</v>
      </c>
      <c r="I40" s="35">
        <f t="shared" si="30"/>
        <v>2283187.481</v>
      </c>
      <c r="J40" s="35">
        <f t="shared" si="30"/>
        <v>2764680.51</v>
      </c>
      <c r="K40" s="35">
        <f t="shared" si="30"/>
        <v>3260111.282</v>
      </c>
      <c r="L40" s="35">
        <f t="shared" si="30"/>
        <v>3793794.038</v>
      </c>
      <c r="M40" s="35">
        <f t="shared" si="30"/>
        <v>4412975.471</v>
      </c>
      <c r="N40" s="35">
        <f t="shared" si="30"/>
        <v>5029256.194</v>
      </c>
      <c r="O40" s="25"/>
      <c r="P40" s="32"/>
      <c r="Q40" s="26"/>
    </row>
    <row r="41">
      <c r="O41" s="25"/>
      <c r="P41" s="26"/>
      <c r="Q41" s="26"/>
    </row>
    <row r="42">
      <c r="B42" s="31" t="s">
        <v>119</v>
      </c>
      <c r="C42" s="42">
        <f>CSV!D7+count('SG&amp;A'!C20:C22)+count('SG&amp;A'!C28:C37)+count(CAC!C22:C38)+count(CAC!C44:C59)+count(CAC!C66:C71)+count(CAC!C77:C86)</f>
        <v>109</v>
      </c>
      <c r="D42" s="42">
        <f>CSV!E7+count('SG&amp;A'!D20:D22)+count('SG&amp;A'!D28:D37)+count(CAC!D22:D38)+count(CAC!D44:D59)+count(CAC!D66:D71)+count(CAC!D77:D86)</f>
        <v>117</v>
      </c>
      <c r="E42" s="42">
        <f>CSV!F7+count('SG&amp;A'!E20:E22)+count('SG&amp;A'!E28:E37)+count(CAC!E22:E38)+count(CAC!E44:E59)+count(CAC!E66:E71)+count(CAC!E77:E86)</f>
        <v>122</v>
      </c>
      <c r="F42" s="42">
        <f>CSV!G7+count('SG&amp;A'!F20:F22)+count('SG&amp;A'!F28:F37)+count(CAC!F22:F38)+count(CAC!F44:F59)+count(CAC!F66:F71)+count(CAC!F77:F86)</f>
        <v>134</v>
      </c>
      <c r="G42" s="42">
        <f>CSV!H7+count('SG&amp;A'!G20:G22)+count('SG&amp;A'!G28:G37)+count(CAC!G22:G38)+count(CAC!G44:G59)+count(CAC!G66:G71)+count(CAC!G77:G86)</f>
        <v>138</v>
      </c>
      <c r="H42" s="42">
        <f>CSV!I7+count('SG&amp;A'!H20:H22)+count('SG&amp;A'!H28:H37)+count(CAC!H22:H38)+count(CAC!H44:H59)+count(CAC!H66:H71)+count(CAC!H77:H86)</f>
        <v>140</v>
      </c>
      <c r="I42" s="42">
        <f>CSV!J7+count('SG&amp;A'!I20:I22)+count('SG&amp;A'!I28:I37)+count(CAC!I22:I38)+count(CAC!I44:I59)+count(CAC!I66:I71)+count(CAC!I77:I86)</f>
        <v>146</v>
      </c>
      <c r="J42" s="42">
        <f>CSV!K7+count('SG&amp;A'!J20:J22)+count('SG&amp;A'!J28:J37)+count(CAC!J22:J38)+count(CAC!J44:J59)+count(CAC!J66:J71)+count(CAC!J77:J86)</f>
        <v>151</v>
      </c>
      <c r="K42" s="42">
        <f>CSV!L7+count('SG&amp;A'!K20:K22)+count('SG&amp;A'!K28:K37)+count(CAC!K22:K38)+count(CAC!K44:K59)+count(CAC!K66:K71)+count(CAC!K77:K86)</f>
        <v>154</v>
      </c>
      <c r="L42" s="42">
        <f>CSV!M7+count('SG&amp;A'!L20:L22)+count('SG&amp;A'!L28:L37)+count(CAC!L22:L38)+count(CAC!L44:L59)+count(CAC!L66:L71)+count(CAC!L77:L86)</f>
        <v>161</v>
      </c>
      <c r="M42" s="42">
        <f>CSV!N7+count('SG&amp;A'!M20:M22)+count('SG&amp;A'!M28:M37)+count(CAC!M22:M38)+count(CAC!M44:M59)+count(CAC!M66:M71)+count(CAC!M77:M86)</f>
        <v>164</v>
      </c>
      <c r="N42" s="42">
        <f>CSV!O7+count('SG&amp;A'!N20:N22)+count('SG&amp;A'!N28:N37)+count(CAC!N22:N38)+count(CAC!N44:N59)+count(CAC!N66:N71)+count(CAC!N77:N86)</f>
        <v>168</v>
      </c>
      <c r="O42" s="25"/>
      <c r="P42" s="26"/>
      <c r="Q42" s="26"/>
    </row>
    <row r="43">
      <c r="B43" s="31" t="s">
        <v>131</v>
      </c>
      <c r="C43" s="42">
        <f>CSV!D7</f>
        <v>73</v>
      </c>
      <c r="D43" s="42">
        <f>CSV!E7</f>
        <v>80</v>
      </c>
      <c r="E43" s="42">
        <f>CSV!F7</f>
        <v>83</v>
      </c>
      <c r="F43" s="42">
        <f>CSV!G7</f>
        <v>93</v>
      </c>
      <c r="G43" s="42">
        <f>CSV!H7</f>
        <v>97</v>
      </c>
      <c r="H43" s="42">
        <f>CSV!I7</f>
        <v>98</v>
      </c>
      <c r="I43" s="42">
        <f>CSV!J7</f>
        <v>104</v>
      </c>
      <c r="J43" s="42">
        <f>CSV!K7</f>
        <v>108</v>
      </c>
      <c r="K43" s="42">
        <f>CSV!L7</f>
        <v>110</v>
      </c>
      <c r="L43" s="42">
        <f>CSV!M7</f>
        <v>116</v>
      </c>
      <c r="M43" s="42">
        <f>CSV!N7</f>
        <v>119</v>
      </c>
      <c r="N43" s="42">
        <f>CSV!O7</f>
        <v>122</v>
      </c>
      <c r="O43" s="25"/>
      <c r="P43" s="26"/>
      <c r="Q43" s="26"/>
    </row>
    <row r="44">
      <c r="B44" s="31" t="s">
        <v>132</v>
      </c>
      <c r="C44" s="42">
        <f>CAC!C5</f>
        <v>24</v>
      </c>
      <c r="D44" s="42">
        <f>CAC!D5</f>
        <v>25</v>
      </c>
      <c r="E44" s="42">
        <f>CAC!E5</f>
        <v>27</v>
      </c>
      <c r="F44" s="42">
        <f>CAC!F5</f>
        <v>30</v>
      </c>
      <c r="G44" s="42">
        <f>CAC!G5</f>
        <v>30</v>
      </c>
      <c r="H44" s="42">
        <f>CAC!H5</f>
        <v>30</v>
      </c>
      <c r="I44" s="42">
        <f>CAC!I5</f>
        <v>30</v>
      </c>
      <c r="J44" s="42">
        <f>CAC!J5</f>
        <v>31</v>
      </c>
      <c r="K44" s="42">
        <f>CAC!K5</f>
        <v>32</v>
      </c>
      <c r="L44" s="42">
        <f>CAC!L5</f>
        <v>33</v>
      </c>
      <c r="M44" s="42">
        <f>CAC!M5</f>
        <v>33</v>
      </c>
      <c r="N44" s="42">
        <f>CAC!N5</f>
        <v>34</v>
      </c>
      <c r="O44" s="25"/>
      <c r="P44" s="26"/>
      <c r="Q44" s="26"/>
    </row>
    <row r="45">
      <c r="B45" s="31" t="s">
        <v>133</v>
      </c>
      <c r="C45" s="42">
        <f>'SG&amp;A'!C5</f>
        <v>12</v>
      </c>
      <c r="D45" s="42">
        <f>'SG&amp;A'!D5</f>
        <v>12</v>
      </c>
      <c r="E45" s="42">
        <f>'SG&amp;A'!E5</f>
        <v>12</v>
      </c>
      <c r="F45" s="42">
        <f>'SG&amp;A'!F5</f>
        <v>11</v>
      </c>
      <c r="G45" s="42">
        <f>'SG&amp;A'!G5</f>
        <v>11</v>
      </c>
      <c r="H45" s="42">
        <f>'SG&amp;A'!H5</f>
        <v>12</v>
      </c>
      <c r="I45" s="42">
        <f>'SG&amp;A'!I5</f>
        <v>12</v>
      </c>
      <c r="J45" s="42">
        <f>'SG&amp;A'!J5</f>
        <v>12</v>
      </c>
      <c r="K45" s="42">
        <f>'SG&amp;A'!K5</f>
        <v>12</v>
      </c>
      <c r="L45" s="42">
        <f>'SG&amp;A'!L5</f>
        <v>12</v>
      </c>
      <c r="M45" s="42">
        <f>'SG&amp;A'!M5</f>
        <v>12</v>
      </c>
      <c r="N45" s="42">
        <f>'SG&amp;A'!N5</f>
        <v>12</v>
      </c>
      <c r="O45" s="25"/>
      <c r="P45" s="26"/>
      <c r="Q45" s="26"/>
    </row>
    <row r="46">
      <c r="O46" s="25"/>
      <c r="P46" s="26"/>
      <c r="Q46" s="26"/>
    </row>
    <row r="47">
      <c r="B47" s="12" t="s">
        <v>116</v>
      </c>
      <c r="C47" s="35">
        <f t="shared" ref="C47:N47" si="31">C26</f>
        <v>1228357.036</v>
      </c>
      <c r="D47" s="35">
        <f t="shared" si="31"/>
        <v>1303760.902</v>
      </c>
      <c r="E47" s="35">
        <f t="shared" si="31"/>
        <v>1356009.772</v>
      </c>
      <c r="F47" s="35">
        <f t="shared" si="31"/>
        <v>1450989.564</v>
      </c>
      <c r="G47" s="35">
        <f t="shared" si="31"/>
        <v>1588965.257</v>
      </c>
      <c r="H47" s="35">
        <f t="shared" si="31"/>
        <v>1585532.201</v>
      </c>
      <c r="I47" s="35">
        <f t="shared" si="31"/>
        <v>1763775.373</v>
      </c>
      <c r="J47" s="35">
        <f t="shared" si="31"/>
        <v>1785161.619</v>
      </c>
      <c r="K47" s="35">
        <f t="shared" si="31"/>
        <v>1827069.972</v>
      </c>
      <c r="L47" s="35">
        <f t="shared" si="31"/>
        <v>1972344.003</v>
      </c>
      <c r="M47" s="35">
        <f t="shared" si="31"/>
        <v>2043426.015</v>
      </c>
      <c r="N47" s="35">
        <f t="shared" si="31"/>
        <v>2118550.152</v>
      </c>
      <c r="O47" s="25"/>
      <c r="P47" s="26"/>
      <c r="Q47" s="26"/>
    </row>
    <row r="48">
      <c r="B48" s="46" t="s">
        <v>130</v>
      </c>
      <c r="C48" s="34">
        <f>C40</f>
        <v>639202.6306</v>
      </c>
      <c r="D48" s="35">
        <f t="shared" ref="D48:N48" si="32">C48+D38</f>
        <v>847094.7384</v>
      </c>
      <c r="E48" s="35">
        <f t="shared" si="32"/>
        <v>1055493.269</v>
      </c>
      <c r="F48" s="35">
        <f t="shared" si="32"/>
        <v>1312361.609</v>
      </c>
      <c r="G48" s="35">
        <f t="shared" si="32"/>
        <v>1592616.465</v>
      </c>
      <c r="H48" s="35">
        <f t="shared" si="32"/>
        <v>1945639.545</v>
      </c>
      <c r="I48" s="35">
        <f t="shared" si="32"/>
        <v>2283187.481</v>
      </c>
      <c r="J48" s="35">
        <f t="shared" si="32"/>
        <v>2764680.51</v>
      </c>
      <c r="K48" s="35">
        <f t="shared" si="32"/>
        <v>3260111.282</v>
      </c>
      <c r="L48" s="35">
        <f t="shared" si="32"/>
        <v>3793794.038</v>
      </c>
      <c r="M48" s="35">
        <f t="shared" si="32"/>
        <v>4412975.471</v>
      </c>
      <c r="N48" s="35">
        <f t="shared" si="32"/>
        <v>5029256.194</v>
      </c>
      <c r="O48" s="25"/>
      <c r="P48" s="26"/>
      <c r="Q48" s="26"/>
    </row>
    <row r="49">
      <c r="B49" s="12" t="s">
        <v>134</v>
      </c>
      <c r="C49" s="35">
        <f t="shared" ref="C49:N49" si="33">C48-C47</f>
        <v>-589154.4056</v>
      </c>
      <c r="D49" s="35">
        <f t="shared" si="33"/>
        <v>-456666.1637</v>
      </c>
      <c r="E49" s="35">
        <f t="shared" si="33"/>
        <v>-300516.5029</v>
      </c>
      <c r="F49" s="35">
        <f t="shared" si="33"/>
        <v>-138627.9548</v>
      </c>
      <c r="G49" s="35">
        <f t="shared" si="33"/>
        <v>3651.208682</v>
      </c>
      <c r="H49" s="35">
        <f t="shared" si="33"/>
        <v>360107.3445</v>
      </c>
      <c r="I49" s="35">
        <f t="shared" si="33"/>
        <v>519412.1079</v>
      </c>
      <c r="J49" s="35">
        <f t="shared" si="33"/>
        <v>979518.8911</v>
      </c>
      <c r="K49" s="35">
        <f t="shared" si="33"/>
        <v>1433041.31</v>
      </c>
      <c r="L49" s="35">
        <f t="shared" si="33"/>
        <v>1821450.035</v>
      </c>
      <c r="M49" s="35">
        <f t="shared" si="33"/>
        <v>2369549.456</v>
      </c>
      <c r="N49" s="35">
        <f t="shared" si="33"/>
        <v>2910706.043</v>
      </c>
      <c r="O49" s="25"/>
      <c r="P49" s="26"/>
      <c r="Q49" s="26"/>
    </row>
    <row r="50">
      <c r="B50" s="12" t="s">
        <v>135</v>
      </c>
      <c r="C50" s="35">
        <f t="shared" ref="C50:N50" si="34">C48-(C47*1.5)</f>
        <v>-1203332.924</v>
      </c>
      <c r="D50" s="35">
        <f t="shared" si="34"/>
        <v>-1108546.615</v>
      </c>
      <c r="E50" s="35">
        <f t="shared" si="34"/>
        <v>-978521.3889</v>
      </c>
      <c r="F50" s="35">
        <f t="shared" si="34"/>
        <v>-864122.737</v>
      </c>
      <c r="G50" s="35">
        <f t="shared" si="34"/>
        <v>-790831.4197</v>
      </c>
      <c r="H50" s="35">
        <f t="shared" si="34"/>
        <v>-432658.7558</v>
      </c>
      <c r="I50" s="35">
        <f t="shared" si="34"/>
        <v>-362475.5786</v>
      </c>
      <c r="J50" s="35">
        <f t="shared" si="34"/>
        <v>86938.08161</v>
      </c>
      <c r="K50" s="35">
        <f t="shared" si="34"/>
        <v>519506.3242</v>
      </c>
      <c r="L50" s="35">
        <f t="shared" si="34"/>
        <v>835278.0335</v>
      </c>
      <c r="M50" s="35">
        <f t="shared" si="34"/>
        <v>1347836.449</v>
      </c>
      <c r="N50" s="35">
        <f t="shared" si="34"/>
        <v>1851430.967</v>
      </c>
      <c r="O50" s="25"/>
      <c r="P50" s="26"/>
      <c r="Q50" s="26"/>
    </row>
    <row r="51">
      <c r="B51" s="12" t="s">
        <v>136</v>
      </c>
      <c r="C51" s="35">
        <f t="shared" ref="C51:N51" si="35">C48-(C47*2)</f>
        <v>-1817511.442</v>
      </c>
      <c r="D51" s="35">
        <f t="shared" si="35"/>
        <v>-1760427.066</v>
      </c>
      <c r="E51" s="35">
        <f t="shared" si="35"/>
        <v>-1656526.275</v>
      </c>
      <c r="F51" s="35">
        <f t="shared" si="35"/>
        <v>-1589617.519</v>
      </c>
      <c r="G51" s="35">
        <f t="shared" si="35"/>
        <v>-1585314.048</v>
      </c>
      <c r="H51" s="35">
        <f t="shared" si="35"/>
        <v>-1225424.856</v>
      </c>
      <c r="I51" s="35">
        <f t="shared" si="35"/>
        <v>-1244363.265</v>
      </c>
      <c r="J51" s="35">
        <f t="shared" si="35"/>
        <v>-805642.7279</v>
      </c>
      <c r="K51" s="35">
        <f t="shared" si="35"/>
        <v>-394028.6618</v>
      </c>
      <c r="L51" s="35">
        <f t="shared" si="35"/>
        <v>-150893.9681</v>
      </c>
      <c r="M51" s="35">
        <f t="shared" si="35"/>
        <v>326123.4416</v>
      </c>
      <c r="N51" s="35">
        <f t="shared" si="35"/>
        <v>792155.8908</v>
      </c>
      <c r="O51" s="25"/>
      <c r="P51" s="26"/>
      <c r="Q51" s="26"/>
    </row>
    <row r="52">
      <c r="B52" s="12" t="s">
        <v>137</v>
      </c>
      <c r="C52" s="35">
        <f t="shared" ref="C52:N52" si="36">C48-(C47*3)</f>
        <v>-3045868.478</v>
      </c>
      <c r="D52" s="35">
        <f t="shared" si="36"/>
        <v>-3064187.968</v>
      </c>
      <c r="E52" s="35">
        <f t="shared" si="36"/>
        <v>-3012536.047</v>
      </c>
      <c r="F52" s="35">
        <f t="shared" si="36"/>
        <v>-3040607.083</v>
      </c>
      <c r="G52" s="35">
        <f t="shared" si="36"/>
        <v>-3174279.305</v>
      </c>
      <c r="H52" s="35">
        <f t="shared" si="36"/>
        <v>-2810957.057</v>
      </c>
      <c r="I52" s="35">
        <f t="shared" si="36"/>
        <v>-3008138.638</v>
      </c>
      <c r="J52" s="35">
        <f t="shared" si="36"/>
        <v>-2590804.347</v>
      </c>
      <c r="K52" s="35">
        <f t="shared" si="36"/>
        <v>-2221098.634</v>
      </c>
      <c r="L52" s="35">
        <f t="shared" si="36"/>
        <v>-2123237.971</v>
      </c>
      <c r="M52" s="35">
        <f t="shared" si="36"/>
        <v>-1717302.573</v>
      </c>
      <c r="N52" s="35">
        <f t="shared" si="36"/>
        <v>-1326394.261</v>
      </c>
      <c r="O52" s="25"/>
      <c r="P52" s="26"/>
      <c r="Q52" s="26"/>
    </row>
    <row r="53">
      <c r="B53" s="12" t="s">
        <v>138</v>
      </c>
      <c r="C53" s="47">
        <f t="shared" ref="C53:N53" si="37">C48/C47</f>
        <v>0.5203720187</v>
      </c>
      <c r="D53" s="47">
        <f t="shared" si="37"/>
        <v>0.6497316625</v>
      </c>
      <c r="E53" s="47">
        <f t="shared" si="37"/>
        <v>0.7783817572</v>
      </c>
      <c r="F53" s="47">
        <f t="shared" si="37"/>
        <v>0.9044597162</v>
      </c>
      <c r="G53" s="47">
        <f t="shared" si="37"/>
        <v>1.002297853</v>
      </c>
      <c r="H53" s="47">
        <f t="shared" si="37"/>
        <v>1.227120802</v>
      </c>
      <c r="I53" s="47">
        <f t="shared" si="37"/>
        <v>1.294488808</v>
      </c>
      <c r="J53" s="47">
        <f t="shared" si="37"/>
        <v>1.548700398</v>
      </c>
      <c r="K53" s="47">
        <f t="shared" si="37"/>
        <v>1.784338494</v>
      </c>
      <c r="L53" s="47">
        <f t="shared" si="37"/>
        <v>1.923495106</v>
      </c>
      <c r="M53" s="47">
        <f t="shared" si="37"/>
        <v>2.159596403</v>
      </c>
      <c r="N53" s="47">
        <f t="shared" si="37"/>
        <v>2.373914155</v>
      </c>
      <c r="O53" s="25"/>
      <c r="P53" s="26"/>
      <c r="Q53" s="26"/>
    </row>
    <row r="54">
      <c r="O54" s="25"/>
      <c r="P54" s="26"/>
      <c r="Q54" s="26"/>
    </row>
    <row r="55">
      <c r="B55" s="2" t="s">
        <v>139</v>
      </c>
      <c r="O55" s="25"/>
      <c r="P55" s="26"/>
      <c r="Q55" s="26"/>
    </row>
    <row r="56">
      <c r="O56" s="25"/>
      <c r="P56" s="26"/>
      <c r="Q56" s="26"/>
    </row>
    <row r="57">
      <c r="O57" s="25"/>
      <c r="P57" s="26"/>
      <c r="Q57" s="26"/>
    </row>
    <row r="58">
      <c r="O58" s="25"/>
      <c r="P58" s="26"/>
      <c r="Q58" s="26"/>
    </row>
    <row r="59">
      <c r="O59" s="25"/>
      <c r="P59" s="26"/>
      <c r="Q59" s="26"/>
    </row>
    <row r="60">
      <c r="O60" s="25"/>
      <c r="P60" s="26"/>
      <c r="Q60" s="26"/>
    </row>
    <row r="61">
      <c r="O61" s="25"/>
      <c r="P61" s="26"/>
      <c r="Q61" s="26"/>
    </row>
    <row r="62">
      <c r="O62" s="25"/>
      <c r="P62" s="26"/>
      <c r="Q62" s="26"/>
    </row>
    <row r="63">
      <c r="O63" s="25"/>
      <c r="P63" s="26"/>
      <c r="Q63" s="26"/>
    </row>
    <row r="64">
      <c r="O64" s="25"/>
      <c r="P64" s="26"/>
      <c r="Q64" s="26"/>
    </row>
    <row r="65">
      <c r="O65" s="25"/>
      <c r="P65" s="26"/>
      <c r="Q65" s="26"/>
    </row>
    <row r="66">
      <c r="O66" s="25"/>
      <c r="P66" s="26"/>
      <c r="Q66" s="26"/>
    </row>
    <row r="67">
      <c r="O67" s="25"/>
      <c r="P67" s="26"/>
      <c r="Q67" s="26"/>
    </row>
    <row r="68">
      <c r="O68" s="25"/>
      <c r="P68" s="26"/>
      <c r="Q68" s="26"/>
    </row>
    <row r="69">
      <c r="O69" s="25"/>
      <c r="P69" s="26"/>
      <c r="Q69" s="26"/>
    </row>
    <row r="70">
      <c r="O70" s="25"/>
      <c r="P70" s="26"/>
      <c r="Q70" s="26"/>
    </row>
    <row r="71">
      <c r="O71" s="25"/>
      <c r="P71" s="26"/>
      <c r="Q71" s="26"/>
    </row>
    <row r="72">
      <c r="O72" s="25"/>
      <c r="P72" s="26"/>
      <c r="Q72" s="26"/>
    </row>
    <row r="73">
      <c r="O73" s="25"/>
      <c r="P73" s="26"/>
      <c r="Q73" s="26"/>
    </row>
    <row r="74">
      <c r="O74" s="25"/>
      <c r="P74" s="26"/>
      <c r="Q74" s="26"/>
    </row>
    <row r="75">
      <c r="O75" s="25"/>
      <c r="P75" s="26"/>
      <c r="Q75" s="26"/>
    </row>
    <row r="76">
      <c r="O76" s="25"/>
      <c r="P76" s="26"/>
      <c r="Q76" s="26"/>
    </row>
    <row r="77">
      <c r="O77" s="25"/>
      <c r="P77" s="26"/>
      <c r="Q77" s="26"/>
    </row>
    <row r="78">
      <c r="O78" s="25"/>
      <c r="P78" s="26"/>
      <c r="Q78" s="26"/>
    </row>
    <row r="79">
      <c r="O79" s="25"/>
      <c r="P79" s="26"/>
      <c r="Q79" s="26"/>
    </row>
    <row r="80">
      <c r="O80" s="25"/>
      <c r="P80" s="26"/>
      <c r="Q80" s="26"/>
    </row>
    <row r="81">
      <c r="O81" s="25"/>
      <c r="P81" s="26"/>
      <c r="Q81" s="26"/>
    </row>
    <row r="82">
      <c r="O82" s="25"/>
      <c r="P82" s="26"/>
      <c r="Q82" s="26"/>
    </row>
    <row r="83">
      <c r="O83" s="25"/>
      <c r="P83" s="26"/>
      <c r="Q83" s="26"/>
    </row>
    <row r="84">
      <c r="O84" s="25"/>
      <c r="P84" s="26"/>
      <c r="Q84" s="26"/>
    </row>
    <row r="85">
      <c r="O85" s="25"/>
      <c r="P85" s="26"/>
      <c r="Q85" s="26"/>
    </row>
    <row r="86">
      <c r="O86" s="25"/>
      <c r="P86" s="26"/>
      <c r="Q86" s="26"/>
    </row>
    <row r="87">
      <c r="O87" s="25"/>
      <c r="P87" s="26"/>
      <c r="Q87" s="26"/>
    </row>
    <row r="88">
      <c r="O88" s="25"/>
      <c r="P88" s="26"/>
      <c r="Q88" s="26"/>
    </row>
    <row r="89">
      <c r="O89" s="25"/>
      <c r="P89" s="26"/>
      <c r="Q89" s="26"/>
    </row>
    <row r="90">
      <c r="O90" s="25"/>
      <c r="P90" s="26"/>
      <c r="Q90" s="26"/>
    </row>
    <row r="91">
      <c r="O91" s="25"/>
      <c r="P91" s="26"/>
      <c r="Q91" s="26"/>
    </row>
    <row r="92">
      <c r="O92" s="25"/>
      <c r="P92" s="26"/>
      <c r="Q92" s="26"/>
    </row>
    <row r="93">
      <c r="O93" s="25"/>
      <c r="P93" s="26"/>
      <c r="Q93" s="26"/>
    </row>
    <row r="94">
      <c r="O94" s="25"/>
      <c r="P94" s="26"/>
      <c r="Q94" s="26"/>
    </row>
    <row r="95">
      <c r="O95" s="25"/>
      <c r="P95" s="26"/>
      <c r="Q95" s="26"/>
    </row>
    <row r="96">
      <c r="O96" s="25"/>
      <c r="P96" s="26"/>
      <c r="Q96" s="26"/>
    </row>
    <row r="97">
      <c r="O97" s="25"/>
      <c r="P97" s="26"/>
      <c r="Q97" s="26"/>
    </row>
    <row r="98">
      <c r="O98" s="25"/>
      <c r="P98" s="26"/>
      <c r="Q98" s="26"/>
    </row>
    <row r="99">
      <c r="O99" s="25"/>
      <c r="P99" s="26"/>
      <c r="Q99" s="26"/>
    </row>
    <row r="100">
      <c r="O100" s="25"/>
      <c r="P100" s="26"/>
      <c r="Q100" s="26"/>
    </row>
    <row r="101">
      <c r="O101" s="25"/>
      <c r="P101" s="26"/>
      <c r="Q101" s="26"/>
    </row>
    <row r="102">
      <c r="O102" s="25"/>
      <c r="P102" s="26"/>
      <c r="Q102" s="26"/>
    </row>
    <row r="103">
      <c r="O103" s="25"/>
      <c r="P103" s="26"/>
      <c r="Q103" s="26"/>
    </row>
    <row r="104">
      <c r="O104" s="25"/>
      <c r="P104" s="26"/>
      <c r="Q104" s="26"/>
    </row>
    <row r="105">
      <c r="O105" s="25"/>
      <c r="P105" s="26"/>
      <c r="Q105" s="26"/>
    </row>
    <row r="106">
      <c r="O106" s="25"/>
      <c r="P106" s="26"/>
      <c r="Q106" s="26"/>
    </row>
    <row r="107">
      <c r="O107" s="25"/>
      <c r="P107" s="26"/>
      <c r="Q107" s="26"/>
    </row>
    <row r="108">
      <c r="O108" s="25"/>
      <c r="P108" s="26"/>
      <c r="Q108" s="26"/>
    </row>
    <row r="109">
      <c r="O109" s="25"/>
      <c r="P109" s="26"/>
      <c r="Q109" s="26"/>
    </row>
    <row r="110">
      <c r="O110" s="25"/>
      <c r="P110" s="26"/>
      <c r="Q110" s="26"/>
    </row>
    <row r="111">
      <c r="O111" s="25"/>
      <c r="P111" s="26"/>
      <c r="Q111" s="26"/>
    </row>
    <row r="112">
      <c r="O112" s="25"/>
      <c r="P112" s="26"/>
      <c r="Q112" s="26"/>
    </row>
    <row r="113">
      <c r="O113" s="25"/>
      <c r="P113" s="26"/>
      <c r="Q113" s="26"/>
    </row>
    <row r="114">
      <c r="O114" s="25"/>
      <c r="P114" s="26"/>
      <c r="Q114" s="26"/>
    </row>
    <row r="115">
      <c r="O115" s="25"/>
      <c r="P115" s="26"/>
      <c r="Q115" s="26"/>
    </row>
    <row r="116">
      <c r="O116" s="25"/>
      <c r="P116" s="26"/>
      <c r="Q116" s="26"/>
    </row>
    <row r="117">
      <c r="O117" s="25"/>
      <c r="P117" s="26"/>
      <c r="Q117" s="26"/>
    </row>
    <row r="118">
      <c r="O118" s="25"/>
      <c r="P118" s="26"/>
      <c r="Q118" s="26"/>
    </row>
    <row r="119">
      <c r="O119" s="25"/>
      <c r="P119" s="26"/>
      <c r="Q119" s="26"/>
    </row>
    <row r="120">
      <c r="O120" s="25"/>
      <c r="P120" s="26"/>
      <c r="Q120" s="26"/>
    </row>
    <row r="121">
      <c r="O121" s="25"/>
      <c r="P121" s="26"/>
      <c r="Q121" s="26"/>
    </row>
    <row r="122">
      <c r="O122" s="25"/>
      <c r="P122" s="26"/>
      <c r="Q122" s="26"/>
    </row>
    <row r="123">
      <c r="O123" s="25"/>
      <c r="P123" s="26"/>
      <c r="Q123" s="26"/>
    </row>
    <row r="124">
      <c r="O124" s="25"/>
      <c r="P124" s="26"/>
      <c r="Q124" s="26"/>
    </row>
    <row r="125">
      <c r="O125" s="25"/>
      <c r="P125" s="26"/>
      <c r="Q125" s="26"/>
    </row>
    <row r="126">
      <c r="O126" s="25"/>
      <c r="P126" s="26"/>
      <c r="Q126" s="26"/>
    </row>
    <row r="127">
      <c r="O127" s="25"/>
      <c r="P127" s="26"/>
      <c r="Q127" s="26"/>
    </row>
    <row r="128">
      <c r="O128" s="25"/>
      <c r="P128" s="26"/>
      <c r="Q128" s="26"/>
    </row>
    <row r="129">
      <c r="O129" s="25"/>
      <c r="P129" s="26"/>
      <c r="Q129" s="26"/>
    </row>
    <row r="130">
      <c r="O130" s="25"/>
      <c r="P130" s="26"/>
      <c r="Q130" s="26"/>
    </row>
    <row r="131">
      <c r="O131" s="25"/>
      <c r="P131" s="26"/>
      <c r="Q131" s="26"/>
    </row>
    <row r="132">
      <c r="O132" s="25"/>
      <c r="P132" s="26"/>
      <c r="Q132" s="26"/>
    </row>
    <row r="133">
      <c r="O133" s="25"/>
      <c r="P133" s="26"/>
      <c r="Q133" s="26"/>
    </row>
    <row r="134">
      <c r="O134" s="25"/>
      <c r="P134" s="26"/>
      <c r="Q134" s="26"/>
    </row>
    <row r="135">
      <c r="O135" s="25"/>
      <c r="P135" s="26"/>
      <c r="Q135" s="26"/>
    </row>
    <row r="136">
      <c r="O136" s="25"/>
      <c r="P136" s="26"/>
      <c r="Q136" s="26"/>
    </row>
    <row r="137">
      <c r="O137" s="25"/>
      <c r="P137" s="26"/>
      <c r="Q137" s="26"/>
    </row>
    <row r="138">
      <c r="O138" s="25"/>
      <c r="P138" s="26"/>
      <c r="Q138" s="26"/>
    </row>
    <row r="139">
      <c r="O139" s="25"/>
      <c r="P139" s="26"/>
      <c r="Q139" s="26"/>
    </row>
    <row r="140">
      <c r="O140" s="25"/>
      <c r="P140" s="26"/>
      <c r="Q140" s="26"/>
    </row>
    <row r="141">
      <c r="O141" s="25"/>
      <c r="P141" s="26"/>
      <c r="Q141" s="26"/>
    </row>
    <row r="142">
      <c r="O142" s="25"/>
      <c r="P142" s="26"/>
      <c r="Q142" s="26"/>
    </row>
    <row r="143">
      <c r="O143" s="25"/>
      <c r="P143" s="26"/>
      <c r="Q143" s="26"/>
    </row>
    <row r="144">
      <c r="O144" s="25"/>
      <c r="P144" s="26"/>
      <c r="Q144" s="26"/>
    </row>
    <row r="145">
      <c r="O145" s="25"/>
      <c r="P145" s="26"/>
      <c r="Q145" s="26"/>
    </row>
    <row r="146">
      <c r="O146" s="25"/>
      <c r="P146" s="26"/>
      <c r="Q146" s="26"/>
    </row>
    <row r="147">
      <c r="O147" s="25"/>
      <c r="P147" s="26"/>
      <c r="Q147" s="26"/>
    </row>
    <row r="148">
      <c r="O148" s="25"/>
      <c r="P148" s="26"/>
      <c r="Q148" s="26"/>
    </row>
    <row r="149">
      <c r="O149" s="25"/>
      <c r="P149" s="26"/>
      <c r="Q149" s="26"/>
    </row>
    <row r="150">
      <c r="O150" s="25"/>
      <c r="P150" s="26"/>
      <c r="Q150" s="26"/>
    </row>
    <row r="151">
      <c r="O151" s="25"/>
      <c r="P151" s="26"/>
      <c r="Q151" s="26"/>
    </row>
    <row r="152">
      <c r="O152" s="25"/>
      <c r="P152" s="26"/>
      <c r="Q152" s="26"/>
    </row>
    <row r="153">
      <c r="O153" s="25"/>
      <c r="P153" s="26"/>
      <c r="Q153" s="26"/>
    </row>
    <row r="154">
      <c r="O154" s="25"/>
      <c r="P154" s="26"/>
      <c r="Q154" s="26"/>
    </row>
    <row r="155">
      <c r="O155" s="25"/>
      <c r="P155" s="26"/>
      <c r="Q155" s="26"/>
    </row>
    <row r="156">
      <c r="O156" s="25"/>
      <c r="P156" s="26"/>
      <c r="Q156" s="26"/>
    </row>
    <row r="157">
      <c r="O157" s="25"/>
      <c r="P157" s="26"/>
      <c r="Q157" s="26"/>
    </row>
    <row r="158">
      <c r="O158" s="25"/>
      <c r="P158" s="26"/>
      <c r="Q158" s="26"/>
    </row>
    <row r="159">
      <c r="O159" s="25"/>
      <c r="P159" s="26"/>
      <c r="Q159" s="26"/>
    </row>
    <row r="160">
      <c r="O160" s="25"/>
      <c r="P160" s="26"/>
      <c r="Q160" s="26"/>
    </row>
    <row r="161">
      <c r="O161" s="25"/>
      <c r="P161" s="26"/>
      <c r="Q161" s="26"/>
    </row>
    <row r="162">
      <c r="O162" s="25"/>
      <c r="P162" s="26"/>
      <c r="Q162" s="26"/>
    </row>
    <row r="163">
      <c r="O163" s="25"/>
      <c r="P163" s="26"/>
      <c r="Q163" s="26"/>
    </row>
    <row r="164">
      <c r="O164" s="25"/>
      <c r="P164" s="26"/>
      <c r="Q164" s="26"/>
    </row>
    <row r="165">
      <c r="O165" s="25"/>
      <c r="P165" s="26"/>
      <c r="Q165" s="26"/>
    </row>
    <row r="166">
      <c r="O166" s="25"/>
      <c r="P166" s="26"/>
      <c r="Q166" s="26"/>
    </row>
    <row r="167">
      <c r="O167" s="25"/>
      <c r="P167" s="26"/>
      <c r="Q167" s="26"/>
    </row>
    <row r="168">
      <c r="O168" s="25"/>
      <c r="P168" s="26"/>
      <c r="Q168" s="26"/>
    </row>
    <row r="169">
      <c r="O169" s="25"/>
      <c r="P169" s="26"/>
      <c r="Q169" s="26"/>
    </row>
    <row r="170">
      <c r="O170" s="25"/>
      <c r="P170" s="26"/>
      <c r="Q170" s="26"/>
    </row>
    <row r="171">
      <c r="O171" s="25"/>
      <c r="P171" s="26"/>
      <c r="Q171" s="26"/>
    </row>
    <row r="172">
      <c r="O172" s="25"/>
      <c r="P172" s="26"/>
      <c r="Q172" s="26"/>
    </row>
    <row r="173">
      <c r="O173" s="25"/>
      <c r="P173" s="26"/>
      <c r="Q173" s="26"/>
    </row>
    <row r="174">
      <c r="O174" s="25"/>
      <c r="P174" s="26"/>
      <c r="Q174" s="26"/>
    </row>
    <row r="175">
      <c r="O175" s="25"/>
      <c r="P175" s="26"/>
      <c r="Q175" s="26"/>
    </row>
    <row r="176">
      <c r="O176" s="25"/>
      <c r="P176" s="26"/>
      <c r="Q176" s="26"/>
    </row>
    <row r="177">
      <c r="O177" s="25"/>
      <c r="P177" s="26"/>
      <c r="Q177" s="26"/>
    </row>
    <row r="178">
      <c r="O178" s="25"/>
      <c r="P178" s="26"/>
      <c r="Q178" s="26"/>
    </row>
    <row r="179">
      <c r="O179" s="25"/>
      <c r="P179" s="26"/>
      <c r="Q179" s="26"/>
    </row>
    <row r="180">
      <c r="O180" s="25"/>
      <c r="P180" s="26"/>
      <c r="Q180" s="26"/>
    </row>
    <row r="181">
      <c r="O181" s="25"/>
      <c r="P181" s="26"/>
      <c r="Q181" s="26"/>
    </row>
    <row r="182">
      <c r="O182" s="25"/>
      <c r="P182" s="26"/>
      <c r="Q182" s="26"/>
    </row>
    <row r="183">
      <c r="O183" s="25"/>
      <c r="P183" s="26"/>
      <c r="Q183" s="26"/>
    </row>
    <row r="184">
      <c r="O184" s="25"/>
      <c r="P184" s="26"/>
      <c r="Q184" s="26"/>
    </row>
    <row r="185">
      <c r="O185" s="25"/>
      <c r="P185" s="26"/>
      <c r="Q185" s="26"/>
    </row>
    <row r="186">
      <c r="O186" s="25"/>
      <c r="P186" s="26"/>
      <c r="Q186" s="26"/>
    </row>
    <row r="187">
      <c r="O187" s="25"/>
      <c r="P187" s="26"/>
      <c r="Q187" s="26"/>
    </row>
    <row r="188">
      <c r="O188" s="25"/>
      <c r="P188" s="26"/>
      <c r="Q188" s="26"/>
    </row>
    <row r="189">
      <c r="O189" s="25"/>
      <c r="P189" s="26"/>
      <c r="Q189" s="26"/>
    </row>
    <row r="190">
      <c r="O190" s="25"/>
      <c r="P190" s="26"/>
      <c r="Q190" s="26"/>
    </row>
    <row r="191">
      <c r="O191" s="25"/>
      <c r="P191" s="26"/>
      <c r="Q191" s="26"/>
    </row>
    <row r="192">
      <c r="O192" s="25"/>
      <c r="P192" s="26"/>
      <c r="Q192" s="26"/>
    </row>
    <row r="193">
      <c r="O193" s="25"/>
      <c r="P193" s="26"/>
      <c r="Q193" s="26"/>
    </row>
    <row r="194">
      <c r="O194" s="25"/>
      <c r="P194" s="26"/>
      <c r="Q194" s="26"/>
    </row>
    <row r="195">
      <c r="O195" s="25"/>
      <c r="P195" s="26"/>
      <c r="Q195" s="26"/>
    </row>
    <row r="196">
      <c r="O196" s="25"/>
      <c r="P196" s="26"/>
      <c r="Q196" s="26"/>
    </row>
    <row r="197">
      <c r="O197" s="25"/>
      <c r="P197" s="26"/>
      <c r="Q197" s="26"/>
    </row>
    <row r="198">
      <c r="O198" s="25"/>
      <c r="P198" s="26"/>
      <c r="Q198" s="26"/>
    </row>
    <row r="199">
      <c r="O199" s="25"/>
      <c r="P199" s="26"/>
      <c r="Q199" s="26"/>
    </row>
    <row r="200">
      <c r="O200" s="25"/>
      <c r="P200" s="26"/>
      <c r="Q200" s="26"/>
    </row>
    <row r="201">
      <c r="O201" s="25"/>
      <c r="P201" s="26"/>
      <c r="Q201" s="26"/>
    </row>
    <row r="202">
      <c r="O202" s="25"/>
      <c r="P202" s="26"/>
      <c r="Q202" s="26"/>
    </row>
    <row r="203">
      <c r="O203" s="25"/>
      <c r="P203" s="26"/>
      <c r="Q203" s="26"/>
    </row>
    <row r="204">
      <c r="O204" s="25"/>
      <c r="P204" s="26"/>
      <c r="Q204" s="26"/>
    </row>
    <row r="205">
      <c r="O205" s="25"/>
      <c r="P205" s="26"/>
      <c r="Q205" s="26"/>
    </row>
    <row r="206">
      <c r="O206" s="25"/>
      <c r="P206" s="26"/>
      <c r="Q206" s="26"/>
    </row>
    <row r="207">
      <c r="O207" s="25"/>
      <c r="P207" s="26"/>
      <c r="Q207" s="26"/>
    </row>
    <row r="208">
      <c r="O208" s="25"/>
      <c r="P208" s="26"/>
      <c r="Q208" s="26"/>
    </row>
    <row r="209">
      <c r="O209" s="25"/>
      <c r="P209" s="26"/>
      <c r="Q209" s="26"/>
    </row>
    <row r="210">
      <c r="O210" s="25"/>
      <c r="P210" s="26"/>
      <c r="Q210" s="26"/>
    </row>
    <row r="211">
      <c r="O211" s="25"/>
      <c r="P211" s="26"/>
      <c r="Q211" s="26"/>
    </row>
    <row r="212">
      <c r="O212" s="25"/>
      <c r="P212" s="26"/>
      <c r="Q212" s="26"/>
    </row>
    <row r="213">
      <c r="O213" s="25"/>
      <c r="P213" s="26"/>
      <c r="Q213" s="26"/>
    </row>
    <row r="214">
      <c r="O214" s="25"/>
      <c r="P214" s="26"/>
      <c r="Q214" s="26"/>
    </row>
    <row r="215">
      <c r="O215" s="25"/>
      <c r="P215" s="26"/>
      <c r="Q215" s="26"/>
    </row>
    <row r="216">
      <c r="O216" s="25"/>
      <c r="P216" s="26"/>
      <c r="Q216" s="26"/>
    </row>
    <row r="217">
      <c r="O217" s="25"/>
      <c r="P217" s="26"/>
      <c r="Q217" s="26"/>
    </row>
    <row r="218">
      <c r="O218" s="25"/>
      <c r="P218" s="26"/>
      <c r="Q218" s="26"/>
    </row>
    <row r="219">
      <c r="O219" s="25"/>
      <c r="P219" s="26"/>
      <c r="Q219" s="26"/>
    </row>
    <row r="220">
      <c r="O220" s="25"/>
      <c r="P220" s="26"/>
      <c r="Q220" s="26"/>
    </row>
    <row r="221">
      <c r="O221" s="25"/>
      <c r="P221" s="26"/>
      <c r="Q221" s="26"/>
    </row>
    <row r="222">
      <c r="O222" s="25"/>
      <c r="P222" s="26"/>
      <c r="Q222" s="26"/>
    </row>
    <row r="223">
      <c r="O223" s="25"/>
      <c r="P223" s="26"/>
      <c r="Q223" s="26"/>
    </row>
    <row r="224">
      <c r="O224" s="25"/>
      <c r="P224" s="26"/>
      <c r="Q224" s="26"/>
    </row>
    <row r="225">
      <c r="O225" s="25"/>
      <c r="P225" s="26"/>
      <c r="Q225" s="26"/>
    </row>
    <row r="226">
      <c r="O226" s="25"/>
      <c r="P226" s="26"/>
      <c r="Q226" s="26"/>
    </row>
    <row r="227">
      <c r="O227" s="25"/>
      <c r="P227" s="26"/>
      <c r="Q227" s="26"/>
    </row>
    <row r="228">
      <c r="O228" s="25"/>
      <c r="P228" s="26"/>
      <c r="Q228" s="26"/>
    </row>
    <row r="229">
      <c r="O229" s="25"/>
      <c r="P229" s="26"/>
      <c r="Q229" s="26"/>
    </row>
    <row r="230">
      <c r="O230" s="25"/>
      <c r="P230" s="26"/>
      <c r="Q230" s="26"/>
    </row>
    <row r="231">
      <c r="O231" s="25"/>
      <c r="P231" s="26"/>
      <c r="Q231" s="26"/>
    </row>
    <row r="232">
      <c r="O232" s="25"/>
      <c r="P232" s="26"/>
      <c r="Q232" s="26"/>
    </row>
    <row r="233">
      <c r="O233" s="25"/>
      <c r="P233" s="26"/>
      <c r="Q233" s="26"/>
    </row>
    <row r="234">
      <c r="O234" s="25"/>
      <c r="P234" s="26"/>
      <c r="Q234" s="26"/>
    </row>
    <row r="235">
      <c r="O235" s="25"/>
      <c r="P235" s="26"/>
      <c r="Q235" s="26"/>
    </row>
    <row r="236">
      <c r="O236" s="25"/>
      <c r="P236" s="26"/>
      <c r="Q236" s="26"/>
    </row>
    <row r="237">
      <c r="O237" s="25"/>
      <c r="P237" s="26"/>
      <c r="Q237" s="26"/>
    </row>
    <row r="238">
      <c r="O238" s="25"/>
      <c r="P238" s="26"/>
      <c r="Q238" s="26"/>
    </row>
    <row r="239">
      <c r="O239" s="25"/>
      <c r="P239" s="26"/>
      <c r="Q239" s="26"/>
    </row>
    <row r="240">
      <c r="O240" s="25"/>
      <c r="P240" s="26"/>
      <c r="Q240" s="26"/>
    </row>
    <row r="241">
      <c r="O241" s="25"/>
      <c r="P241" s="26"/>
      <c r="Q241" s="26"/>
    </row>
    <row r="242">
      <c r="O242" s="25"/>
      <c r="P242" s="26"/>
      <c r="Q242" s="26"/>
    </row>
    <row r="243">
      <c r="O243" s="25"/>
      <c r="P243" s="26"/>
      <c r="Q243" s="26"/>
    </row>
    <row r="244">
      <c r="O244" s="25"/>
      <c r="P244" s="26"/>
      <c r="Q244" s="26"/>
    </row>
    <row r="245">
      <c r="O245" s="25"/>
      <c r="P245" s="26"/>
      <c r="Q245" s="26"/>
    </row>
    <row r="246">
      <c r="O246" s="25"/>
      <c r="P246" s="26"/>
      <c r="Q246" s="26"/>
    </row>
    <row r="247">
      <c r="O247" s="25"/>
      <c r="P247" s="26"/>
      <c r="Q247" s="26"/>
    </row>
    <row r="248">
      <c r="O248" s="25"/>
      <c r="P248" s="26"/>
      <c r="Q248" s="26"/>
    </row>
    <row r="249">
      <c r="O249" s="25"/>
      <c r="P249" s="26"/>
      <c r="Q249" s="26"/>
    </row>
    <row r="250">
      <c r="O250" s="25"/>
      <c r="P250" s="26"/>
      <c r="Q250" s="26"/>
    </row>
    <row r="251">
      <c r="O251" s="25"/>
      <c r="P251" s="26"/>
      <c r="Q251" s="26"/>
    </row>
    <row r="252">
      <c r="O252" s="25"/>
      <c r="P252" s="26"/>
      <c r="Q252" s="26"/>
    </row>
    <row r="253">
      <c r="O253" s="25"/>
      <c r="P253" s="26"/>
      <c r="Q253" s="26"/>
    </row>
    <row r="254">
      <c r="O254" s="25"/>
      <c r="P254" s="26"/>
      <c r="Q254" s="26"/>
    </row>
    <row r="255">
      <c r="O255" s="25"/>
      <c r="P255" s="26"/>
      <c r="Q255" s="26"/>
    </row>
    <row r="256">
      <c r="O256" s="25"/>
      <c r="P256" s="26"/>
      <c r="Q256" s="26"/>
    </row>
    <row r="257">
      <c r="O257" s="25"/>
      <c r="P257" s="26"/>
      <c r="Q257" s="26"/>
    </row>
    <row r="258">
      <c r="O258" s="25"/>
      <c r="P258" s="26"/>
      <c r="Q258" s="26"/>
    </row>
    <row r="259">
      <c r="O259" s="25"/>
      <c r="P259" s="26"/>
      <c r="Q259" s="26"/>
    </row>
    <row r="260">
      <c r="O260" s="25"/>
      <c r="P260" s="26"/>
      <c r="Q260" s="26"/>
    </row>
    <row r="261">
      <c r="O261" s="25"/>
      <c r="P261" s="26"/>
      <c r="Q261" s="26"/>
    </row>
    <row r="262">
      <c r="O262" s="25"/>
      <c r="P262" s="26"/>
      <c r="Q262" s="26"/>
    </row>
    <row r="263">
      <c r="O263" s="25"/>
      <c r="P263" s="26"/>
      <c r="Q263" s="26"/>
    </row>
    <row r="264">
      <c r="O264" s="25"/>
      <c r="P264" s="26"/>
      <c r="Q264" s="26"/>
    </row>
    <row r="265">
      <c r="O265" s="25"/>
      <c r="P265" s="26"/>
      <c r="Q265" s="26"/>
    </row>
    <row r="266">
      <c r="O266" s="25"/>
      <c r="P266" s="26"/>
      <c r="Q266" s="26"/>
    </row>
    <row r="267">
      <c r="O267" s="25"/>
      <c r="P267" s="26"/>
      <c r="Q267" s="26"/>
    </row>
    <row r="268">
      <c r="O268" s="25"/>
      <c r="P268" s="26"/>
      <c r="Q268" s="26"/>
    </row>
    <row r="269">
      <c r="O269" s="25"/>
      <c r="P269" s="26"/>
      <c r="Q269" s="26"/>
    </row>
    <row r="270">
      <c r="O270" s="25"/>
      <c r="P270" s="26"/>
      <c r="Q270" s="26"/>
    </row>
    <row r="271">
      <c r="O271" s="25"/>
      <c r="P271" s="26"/>
      <c r="Q271" s="26"/>
    </row>
    <row r="272">
      <c r="O272" s="25"/>
      <c r="P272" s="26"/>
      <c r="Q272" s="26"/>
    </row>
    <row r="273">
      <c r="O273" s="25"/>
      <c r="P273" s="26"/>
      <c r="Q273" s="26"/>
    </row>
    <row r="274">
      <c r="O274" s="25"/>
      <c r="P274" s="26"/>
      <c r="Q274" s="26"/>
    </row>
    <row r="275">
      <c r="O275" s="25"/>
      <c r="P275" s="26"/>
      <c r="Q275" s="26"/>
    </row>
    <row r="276">
      <c r="O276" s="25"/>
      <c r="P276" s="26"/>
      <c r="Q276" s="26"/>
    </row>
    <row r="277">
      <c r="O277" s="25"/>
      <c r="P277" s="26"/>
      <c r="Q277" s="26"/>
    </row>
    <row r="278">
      <c r="O278" s="25"/>
      <c r="P278" s="26"/>
      <c r="Q278" s="26"/>
    </row>
    <row r="279">
      <c r="O279" s="25"/>
      <c r="P279" s="26"/>
      <c r="Q279" s="26"/>
    </row>
    <row r="280">
      <c r="O280" s="25"/>
      <c r="P280" s="26"/>
      <c r="Q280" s="26"/>
    </row>
    <row r="281">
      <c r="O281" s="25"/>
      <c r="P281" s="26"/>
      <c r="Q281" s="26"/>
    </row>
    <row r="282">
      <c r="O282" s="25"/>
      <c r="P282" s="26"/>
      <c r="Q282" s="26"/>
    </row>
    <row r="283">
      <c r="O283" s="25"/>
      <c r="P283" s="26"/>
      <c r="Q283" s="26"/>
    </row>
    <row r="284">
      <c r="O284" s="25"/>
      <c r="P284" s="26"/>
      <c r="Q284" s="26"/>
    </row>
    <row r="285">
      <c r="O285" s="25"/>
      <c r="P285" s="26"/>
      <c r="Q285" s="26"/>
    </row>
    <row r="286">
      <c r="O286" s="25"/>
      <c r="P286" s="26"/>
      <c r="Q286" s="26"/>
    </row>
    <row r="287">
      <c r="O287" s="25"/>
      <c r="P287" s="26"/>
      <c r="Q287" s="26"/>
    </row>
    <row r="288">
      <c r="O288" s="25"/>
      <c r="P288" s="26"/>
      <c r="Q288" s="26"/>
    </row>
    <row r="289">
      <c r="O289" s="25"/>
      <c r="P289" s="26"/>
      <c r="Q289" s="26"/>
    </row>
    <row r="290">
      <c r="O290" s="25"/>
      <c r="P290" s="26"/>
      <c r="Q290" s="26"/>
    </row>
    <row r="291">
      <c r="O291" s="25"/>
      <c r="P291" s="26"/>
      <c r="Q291" s="26"/>
    </row>
    <row r="292">
      <c r="O292" s="25"/>
      <c r="P292" s="26"/>
      <c r="Q292" s="26"/>
    </row>
    <row r="293">
      <c r="O293" s="25"/>
      <c r="P293" s="26"/>
      <c r="Q293" s="26"/>
    </row>
    <row r="294">
      <c r="O294" s="25"/>
      <c r="P294" s="26"/>
      <c r="Q294" s="26"/>
    </row>
    <row r="295">
      <c r="O295" s="25"/>
      <c r="P295" s="26"/>
      <c r="Q295" s="26"/>
    </row>
    <row r="296">
      <c r="O296" s="25"/>
      <c r="P296" s="26"/>
      <c r="Q296" s="26"/>
    </row>
    <row r="297">
      <c r="O297" s="25"/>
      <c r="P297" s="26"/>
      <c r="Q297" s="26"/>
    </row>
    <row r="298">
      <c r="O298" s="25"/>
      <c r="P298" s="26"/>
      <c r="Q298" s="26"/>
    </row>
    <row r="299">
      <c r="O299" s="25"/>
      <c r="P299" s="26"/>
      <c r="Q299" s="26"/>
    </row>
    <row r="300">
      <c r="O300" s="25"/>
      <c r="P300" s="26"/>
      <c r="Q300" s="26"/>
    </row>
    <row r="301">
      <c r="O301" s="25"/>
      <c r="P301" s="26"/>
      <c r="Q301" s="26"/>
    </row>
    <row r="302">
      <c r="O302" s="25"/>
      <c r="P302" s="26"/>
      <c r="Q302" s="26"/>
    </row>
    <row r="303">
      <c r="O303" s="25"/>
      <c r="P303" s="26"/>
      <c r="Q303" s="26"/>
    </row>
    <row r="304">
      <c r="O304" s="25"/>
      <c r="P304" s="26"/>
      <c r="Q304" s="26"/>
    </row>
    <row r="305">
      <c r="O305" s="25"/>
      <c r="P305" s="26"/>
      <c r="Q305" s="26"/>
    </row>
    <row r="306">
      <c r="O306" s="25"/>
      <c r="P306" s="26"/>
      <c r="Q306" s="26"/>
    </row>
    <row r="307">
      <c r="O307" s="25"/>
      <c r="P307" s="26"/>
      <c r="Q307" s="26"/>
    </row>
    <row r="308">
      <c r="O308" s="25"/>
      <c r="P308" s="26"/>
      <c r="Q308" s="26"/>
    </row>
    <row r="309">
      <c r="O309" s="25"/>
      <c r="P309" s="26"/>
      <c r="Q309" s="26"/>
    </row>
    <row r="310">
      <c r="O310" s="25"/>
      <c r="P310" s="26"/>
      <c r="Q310" s="26"/>
    </row>
    <row r="311">
      <c r="O311" s="25"/>
      <c r="P311" s="26"/>
      <c r="Q311" s="26"/>
    </row>
    <row r="312">
      <c r="O312" s="25"/>
      <c r="P312" s="26"/>
      <c r="Q312" s="26"/>
    </row>
    <row r="313">
      <c r="O313" s="25"/>
      <c r="P313" s="26"/>
      <c r="Q313" s="26"/>
    </row>
    <row r="314">
      <c r="O314" s="25"/>
      <c r="P314" s="26"/>
      <c r="Q314" s="26"/>
    </row>
    <row r="315">
      <c r="O315" s="25"/>
      <c r="P315" s="26"/>
      <c r="Q315" s="26"/>
    </row>
    <row r="316">
      <c r="O316" s="25"/>
      <c r="P316" s="26"/>
      <c r="Q316" s="26"/>
    </row>
    <row r="317">
      <c r="O317" s="25"/>
      <c r="P317" s="26"/>
      <c r="Q317" s="26"/>
    </row>
    <row r="318">
      <c r="O318" s="25"/>
      <c r="P318" s="26"/>
      <c r="Q318" s="26"/>
    </row>
    <row r="319">
      <c r="O319" s="25"/>
      <c r="P319" s="26"/>
      <c r="Q319" s="26"/>
    </row>
    <row r="320">
      <c r="O320" s="25"/>
      <c r="P320" s="26"/>
      <c r="Q320" s="26"/>
    </row>
    <row r="321">
      <c r="O321" s="25"/>
      <c r="P321" s="26"/>
      <c r="Q321" s="26"/>
    </row>
    <row r="322">
      <c r="O322" s="25"/>
      <c r="P322" s="26"/>
      <c r="Q322" s="26"/>
    </row>
    <row r="323">
      <c r="O323" s="25"/>
      <c r="P323" s="26"/>
      <c r="Q323" s="26"/>
    </row>
    <row r="324">
      <c r="O324" s="25"/>
      <c r="P324" s="26"/>
      <c r="Q324" s="26"/>
    </row>
    <row r="325">
      <c r="O325" s="25"/>
      <c r="P325" s="26"/>
      <c r="Q325" s="26"/>
    </row>
    <row r="326">
      <c r="O326" s="25"/>
      <c r="P326" s="26"/>
      <c r="Q326" s="26"/>
    </row>
    <row r="327">
      <c r="O327" s="25"/>
      <c r="P327" s="26"/>
      <c r="Q327" s="26"/>
    </row>
    <row r="328">
      <c r="O328" s="25"/>
      <c r="P328" s="26"/>
      <c r="Q328" s="26"/>
    </row>
    <row r="329">
      <c r="O329" s="25"/>
      <c r="P329" s="26"/>
      <c r="Q329" s="26"/>
    </row>
    <row r="330">
      <c r="O330" s="25"/>
      <c r="P330" s="26"/>
      <c r="Q330" s="26"/>
    </row>
    <row r="331">
      <c r="O331" s="25"/>
      <c r="P331" s="26"/>
      <c r="Q331" s="26"/>
    </row>
    <row r="332">
      <c r="O332" s="25"/>
      <c r="P332" s="26"/>
      <c r="Q332" s="26"/>
    </row>
    <row r="333">
      <c r="O333" s="25"/>
      <c r="P333" s="26"/>
      <c r="Q333" s="26"/>
    </row>
    <row r="334">
      <c r="O334" s="25"/>
      <c r="P334" s="26"/>
      <c r="Q334" s="26"/>
    </row>
    <row r="335">
      <c r="O335" s="25"/>
      <c r="P335" s="26"/>
      <c r="Q335" s="26"/>
    </row>
    <row r="336">
      <c r="O336" s="25"/>
      <c r="P336" s="26"/>
      <c r="Q336" s="26"/>
    </row>
    <row r="337">
      <c r="O337" s="25"/>
      <c r="P337" s="26"/>
      <c r="Q337" s="26"/>
    </row>
    <row r="338">
      <c r="O338" s="25"/>
      <c r="P338" s="26"/>
      <c r="Q338" s="26"/>
    </row>
    <row r="339">
      <c r="O339" s="25"/>
      <c r="P339" s="26"/>
      <c r="Q339" s="26"/>
    </row>
    <row r="340">
      <c r="O340" s="25"/>
      <c r="P340" s="26"/>
      <c r="Q340" s="26"/>
    </row>
    <row r="341">
      <c r="O341" s="25"/>
      <c r="P341" s="26"/>
      <c r="Q341" s="26"/>
    </row>
    <row r="342">
      <c r="O342" s="25"/>
      <c r="P342" s="26"/>
      <c r="Q342" s="26"/>
    </row>
    <row r="343">
      <c r="O343" s="25"/>
      <c r="P343" s="26"/>
      <c r="Q343" s="26"/>
    </row>
    <row r="344">
      <c r="O344" s="25"/>
      <c r="P344" s="26"/>
      <c r="Q344" s="26"/>
    </row>
    <row r="345">
      <c r="O345" s="25"/>
      <c r="P345" s="26"/>
      <c r="Q345" s="26"/>
    </row>
    <row r="346">
      <c r="O346" s="25"/>
      <c r="P346" s="26"/>
      <c r="Q346" s="26"/>
    </row>
    <row r="347">
      <c r="O347" s="25"/>
      <c r="P347" s="26"/>
      <c r="Q347" s="26"/>
    </row>
    <row r="348">
      <c r="O348" s="25"/>
      <c r="P348" s="26"/>
      <c r="Q348" s="26"/>
    </row>
    <row r="349">
      <c r="O349" s="25"/>
      <c r="P349" s="26"/>
      <c r="Q349" s="26"/>
    </row>
    <row r="350">
      <c r="O350" s="25"/>
      <c r="P350" s="26"/>
      <c r="Q350" s="26"/>
    </row>
    <row r="351">
      <c r="O351" s="25"/>
      <c r="P351" s="26"/>
      <c r="Q351" s="26"/>
    </row>
    <row r="352">
      <c r="O352" s="25"/>
      <c r="P352" s="26"/>
      <c r="Q352" s="26"/>
    </row>
    <row r="353">
      <c r="O353" s="25"/>
      <c r="P353" s="26"/>
      <c r="Q353" s="26"/>
    </row>
    <row r="354">
      <c r="O354" s="25"/>
      <c r="P354" s="26"/>
      <c r="Q354" s="26"/>
    </row>
    <row r="355">
      <c r="O355" s="25"/>
      <c r="P355" s="26"/>
      <c r="Q355" s="26"/>
    </row>
    <row r="356">
      <c r="O356" s="25"/>
      <c r="P356" s="26"/>
      <c r="Q356" s="26"/>
    </row>
    <row r="357">
      <c r="O357" s="25"/>
      <c r="P357" s="26"/>
      <c r="Q357" s="26"/>
    </row>
    <row r="358">
      <c r="O358" s="25"/>
      <c r="P358" s="26"/>
      <c r="Q358" s="26"/>
    </row>
    <row r="359">
      <c r="O359" s="25"/>
      <c r="P359" s="26"/>
      <c r="Q359" s="26"/>
    </row>
    <row r="360">
      <c r="O360" s="25"/>
      <c r="P360" s="26"/>
      <c r="Q360" s="26"/>
    </row>
    <row r="361">
      <c r="O361" s="25"/>
      <c r="P361" s="26"/>
      <c r="Q361" s="26"/>
    </row>
    <row r="362">
      <c r="O362" s="25"/>
      <c r="P362" s="26"/>
      <c r="Q362" s="26"/>
    </row>
    <row r="363">
      <c r="O363" s="25"/>
      <c r="P363" s="26"/>
      <c r="Q363" s="26"/>
    </row>
    <row r="364">
      <c r="O364" s="25"/>
      <c r="P364" s="26"/>
      <c r="Q364" s="26"/>
    </row>
    <row r="365">
      <c r="O365" s="25"/>
      <c r="P365" s="26"/>
      <c r="Q365" s="26"/>
    </row>
    <row r="366">
      <c r="O366" s="25"/>
      <c r="P366" s="26"/>
      <c r="Q366" s="26"/>
    </row>
    <row r="367">
      <c r="O367" s="25"/>
      <c r="P367" s="26"/>
      <c r="Q367" s="26"/>
    </row>
    <row r="368">
      <c r="O368" s="25"/>
      <c r="P368" s="26"/>
      <c r="Q368" s="26"/>
    </row>
    <row r="369">
      <c r="O369" s="25"/>
      <c r="P369" s="26"/>
      <c r="Q369" s="26"/>
    </row>
    <row r="370">
      <c r="O370" s="25"/>
      <c r="P370" s="26"/>
      <c r="Q370" s="26"/>
    </row>
    <row r="371">
      <c r="O371" s="25"/>
      <c r="P371" s="26"/>
      <c r="Q371" s="26"/>
    </row>
    <row r="372">
      <c r="O372" s="25"/>
      <c r="P372" s="26"/>
      <c r="Q372" s="26"/>
    </row>
    <row r="373">
      <c r="O373" s="25"/>
      <c r="P373" s="26"/>
      <c r="Q373" s="26"/>
    </row>
    <row r="374">
      <c r="O374" s="25"/>
      <c r="P374" s="26"/>
      <c r="Q374" s="26"/>
    </row>
    <row r="375">
      <c r="O375" s="25"/>
      <c r="P375" s="26"/>
      <c r="Q375" s="26"/>
    </row>
    <row r="376">
      <c r="O376" s="25"/>
      <c r="P376" s="26"/>
      <c r="Q376" s="26"/>
    </row>
    <row r="377">
      <c r="O377" s="25"/>
      <c r="P377" s="26"/>
      <c r="Q377" s="26"/>
    </row>
    <row r="378">
      <c r="O378" s="25"/>
      <c r="P378" s="26"/>
      <c r="Q378" s="26"/>
    </row>
    <row r="379">
      <c r="O379" s="25"/>
      <c r="P379" s="26"/>
      <c r="Q379" s="26"/>
    </row>
    <row r="380">
      <c r="O380" s="25"/>
      <c r="P380" s="26"/>
      <c r="Q380" s="26"/>
    </row>
    <row r="381">
      <c r="O381" s="25"/>
      <c r="P381" s="26"/>
      <c r="Q381" s="26"/>
    </row>
    <row r="382">
      <c r="O382" s="25"/>
      <c r="P382" s="26"/>
      <c r="Q382" s="26"/>
    </row>
    <row r="383">
      <c r="O383" s="25"/>
      <c r="P383" s="26"/>
      <c r="Q383" s="26"/>
    </row>
    <row r="384">
      <c r="O384" s="25"/>
      <c r="P384" s="26"/>
      <c r="Q384" s="26"/>
    </row>
    <row r="385">
      <c r="O385" s="25"/>
      <c r="P385" s="26"/>
      <c r="Q385" s="26"/>
    </row>
    <row r="386">
      <c r="O386" s="25"/>
      <c r="P386" s="26"/>
      <c r="Q386" s="26"/>
    </row>
    <row r="387">
      <c r="O387" s="25"/>
      <c r="P387" s="26"/>
      <c r="Q387" s="26"/>
    </row>
    <row r="388">
      <c r="O388" s="25"/>
      <c r="P388" s="26"/>
      <c r="Q388" s="26"/>
    </row>
    <row r="389">
      <c r="O389" s="25"/>
      <c r="P389" s="26"/>
      <c r="Q389" s="26"/>
    </row>
    <row r="390">
      <c r="O390" s="25"/>
      <c r="P390" s="26"/>
      <c r="Q390" s="26"/>
    </row>
    <row r="391">
      <c r="O391" s="25"/>
      <c r="P391" s="26"/>
      <c r="Q391" s="26"/>
    </row>
    <row r="392">
      <c r="O392" s="25"/>
      <c r="P392" s="26"/>
      <c r="Q392" s="26"/>
    </row>
    <row r="393">
      <c r="O393" s="25"/>
      <c r="P393" s="26"/>
      <c r="Q393" s="26"/>
    </row>
    <row r="394">
      <c r="O394" s="25"/>
      <c r="P394" s="26"/>
      <c r="Q394" s="26"/>
    </row>
    <row r="395">
      <c r="O395" s="25"/>
      <c r="P395" s="26"/>
      <c r="Q395" s="26"/>
    </row>
    <row r="396">
      <c r="O396" s="25"/>
      <c r="P396" s="26"/>
      <c r="Q396" s="26"/>
    </row>
    <row r="397">
      <c r="O397" s="25"/>
      <c r="P397" s="26"/>
      <c r="Q397" s="26"/>
    </row>
    <row r="398">
      <c r="O398" s="25"/>
      <c r="P398" s="26"/>
      <c r="Q398" s="26"/>
    </row>
    <row r="399">
      <c r="O399" s="25"/>
      <c r="P399" s="26"/>
      <c r="Q399" s="26"/>
    </row>
    <row r="400">
      <c r="O400" s="25"/>
      <c r="P400" s="26"/>
      <c r="Q400" s="26"/>
    </row>
    <row r="401">
      <c r="O401" s="25"/>
      <c r="P401" s="26"/>
      <c r="Q401" s="26"/>
    </row>
    <row r="402">
      <c r="O402" s="25"/>
      <c r="P402" s="26"/>
      <c r="Q402" s="26"/>
    </row>
    <row r="403">
      <c r="O403" s="25"/>
      <c r="P403" s="26"/>
      <c r="Q403" s="26"/>
    </row>
    <row r="404">
      <c r="O404" s="25"/>
      <c r="P404" s="26"/>
      <c r="Q404" s="26"/>
    </row>
    <row r="405">
      <c r="O405" s="25"/>
      <c r="P405" s="26"/>
      <c r="Q405" s="26"/>
    </row>
    <row r="406">
      <c r="O406" s="25"/>
      <c r="P406" s="26"/>
      <c r="Q406" s="26"/>
    </row>
    <row r="407">
      <c r="O407" s="25"/>
      <c r="P407" s="26"/>
      <c r="Q407" s="26"/>
    </row>
    <row r="408">
      <c r="O408" s="25"/>
      <c r="P408" s="26"/>
      <c r="Q408" s="26"/>
    </row>
    <row r="409">
      <c r="O409" s="25"/>
      <c r="P409" s="26"/>
      <c r="Q409" s="26"/>
    </row>
    <row r="410">
      <c r="O410" s="25"/>
      <c r="P410" s="26"/>
      <c r="Q410" s="26"/>
    </row>
    <row r="411">
      <c r="O411" s="25"/>
      <c r="P411" s="26"/>
      <c r="Q411" s="26"/>
    </row>
    <row r="412">
      <c r="O412" s="25"/>
      <c r="P412" s="26"/>
      <c r="Q412" s="26"/>
    </row>
    <row r="413">
      <c r="O413" s="25"/>
      <c r="P413" s="26"/>
      <c r="Q413" s="26"/>
    </row>
    <row r="414">
      <c r="O414" s="25"/>
      <c r="P414" s="26"/>
      <c r="Q414" s="26"/>
    </row>
    <row r="415">
      <c r="O415" s="25"/>
      <c r="P415" s="26"/>
      <c r="Q415" s="26"/>
    </row>
    <row r="416">
      <c r="O416" s="25"/>
      <c r="P416" s="26"/>
      <c r="Q416" s="26"/>
    </row>
    <row r="417">
      <c r="O417" s="25"/>
      <c r="P417" s="26"/>
      <c r="Q417" s="26"/>
    </row>
    <row r="418">
      <c r="O418" s="25"/>
      <c r="P418" s="26"/>
      <c r="Q418" s="26"/>
    </row>
    <row r="419">
      <c r="O419" s="25"/>
      <c r="P419" s="26"/>
      <c r="Q419" s="26"/>
    </row>
    <row r="420">
      <c r="O420" s="25"/>
      <c r="P420" s="26"/>
      <c r="Q420" s="26"/>
    </row>
    <row r="421">
      <c r="O421" s="25"/>
      <c r="P421" s="26"/>
      <c r="Q421" s="26"/>
    </row>
    <row r="422">
      <c r="O422" s="25"/>
      <c r="P422" s="26"/>
      <c r="Q422" s="26"/>
    </row>
    <row r="423">
      <c r="O423" s="25"/>
      <c r="P423" s="26"/>
      <c r="Q423" s="26"/>
    </row>
    <row r="424">
      <c r="O424" s="25"/>
      <c r="P424" s="26"/>
      <c r="Q424" s="26"/>
    </row>
    <row r="425">
      <c r="O425" s="25"/>
      <c r="P425" s="26"/>
      <c r="Q425" s="26"/>
    </row>
    <row r="426">
      <c r="O426" s="25"/>
      <c r="P426" s="26"/>
      <c r="Q426" s="26"/>
    </row>
    <row r="427">
      <c r="O427" s="25"/>
      <c r="P427" s="26"/>
      <c r="Q427" s="26"/>
    </row>
    <row r="428">
      <c r="O428" s="25"/>
      <c r="P428" s="26"/>
      <c r="Q428" s="26"/>
    </row>
    <row r="429">
      <c r="O429" s="25"/>
      <c r="P429" s="26"/>
      <c r="Q429" s="26"/>
    </row>
    <row r="430">
      <c r="O430" s="25"/>
      <c r="P430" s="26"/>
      <c r="Q430" s="26"/>
    </row>
    <row r="431">
      <c r="O431" s="25"/>
      <c r="P431" s="26"/>
      <c r="Q431" s="26"/>
    </row>
    <row r="432">
      <c r="O432" s="25"/>
      <c r="P432" s="26"/>
      <c r="Q432" s="26"/>
    </row>
    <row r="433">
      <c r="O433" s="25"/>
      <c r="P433" s="26"/>
      <c r="Q433" s="26"/>
    </row>
    <row r="434">
      <c r="O434" s="25"/>
      <c r="P434" s="26"/>
      <c r="Q434" s="26"/>
    </row>
    <row r="435">
      <c r="O435" s="25"/>
      <c r="P435" s="26"/>
      <c r="Q435" s="26"/>
    </row>
    <row r="436">
      <c r="O436" s="25"/>
      <c r="P436" s="26"/>
      <c r="Q436" s="26"/>
    </row>
    <row r="437">
      <c r="O437" s="25"/>
      <c r="P437" s="26"/>
      <c r="Q437" s="26"/>
    </row>
    <row r="438">
      <c r="O438" s="25"/>
      <c r="P438" s="26"/>
      <c r="Q438" s="26"/>
    </row>
    <row r="439">
      <c r="O439" s="25"/>
      <c r="P439" s="26"/>
      <c r="Q439" s="26"/>
    </row>
    <row r="440">
      <c r="O440" s="25"/>
      <c r="P440" s="26"/>
      <c r="Q440" s="26"/>
    </row>
    <row r="441">
      <c r="O441" s="25"/>
      <c r="P441" s="26"/>
      <c r="Q441" s="26"/>
    </row>
    <row r="442">
      <c r="O442" s="25"/>
      <c r="P442" s="26"/>
      <c r="Q442" s="26"/>
    </row>
    <row r="443">
      <c r="O443" s="25"/>
      <c r="P443" s="26"/>
      <c r="Q443" s="26"/>
    </row>
    <row r="444">
      <c r="O444" s="25"/>
      <c r="P444" s="26"/>
      <c r="Q444" s="26"/>
    </row>
    <row r="445">
      <c r="O445" s="25"/>
      <c r="P445" s="26"/>
      <c r="Q445" s="26"/>
    </row>
    <row r="446">
      <c r="O446" s="25"/>
      <c r="P446" s="26"/>
      <c r="Q446" s="26"/>
    </row>
    <row r="447">
      <c r="O447" s="25"/>
      <c r="P447" s="26"/>
      <c r="Q447" s="26"/>
    </row>
    <row r="448">
      <c r="O448" s="25"/>
      <c r="P448" s="26"/>
      <c r="Q448" s="26"/>
    </row>
    <row r="449">
      <c r="O449" s="25"/>
      <c r="P449" s="26"/>
      <c r="Q449" s="26"/>
    </row>
    <row r="450">
      <c r="O450" s="25"/>
      <c r="P450" s="26"/>
      <c r="Q450" s="26"/>
    </row>
    <row r="451">
      <c r="O451" s="25"/>
      <c r="P451" s="26"/>
      <c r="Q451" s="26"/>
    </row>
    <row r="452">
      <c r="O452" s="25"/>
      <c r="P452" s="26"/>
      <c r="Q452" s="26"/>
    </row>
    <row r="453">
      <c r="O453" s="25"/>
      <c r="P453" s="26"/>
      <c r="Q453" s="26"/>
    </row>
    <row r="454">
      <c r="O454" s="25"/>
      <c r="P454" s="26"/>
      <c r="Q454" s="26"/>
    </row>
    <row r="455">
      <c r="O455" s="25"/>
      <c r="P455" s="26"/>
      <c r="Q455" s="26"/>
    </row>
    <row r="456">
      <c r="O456" s="25"/>
      <c r="P456" s="26"/>
      <c r="Q456" s="26"/>
    </row>
    <row r="457">
      <c r="O457" s="25"/>
      <c r="P457" s="26"/>
      <c r="Q457" s="26"/>
    </row>
    <row r="458">
      <c r="O458" s="25"/>
      <c r="P458" s="26"/>
      <c r="Q458" s="26"/>
    </row>
    <row r="459">
      <c r="O459" s="25"/>
      <c r="P459" s="26"/>
      <c r="Q459" s="26"/>
    </row>
    <row r="460">
      <c r="O460" s="25"/>
      <c r="P460" s="26"/>
      <c r="Q460" s="26"/>
    </row>
    <row r="461">
      <c r="O461" s="25"/>
      <c r="P461" s="26"/>
      <c r="Q461" s="26"/>
    </row>
    <row r="462">
      <c r="O462" s="25"/>
      <c r="P462" s="26"/>
      <c r="Q462" s="26"/>
    </row>
    <row r="463">
      <c r="O463" s="25"/>
      <c r="P463" s="26"/>
      <c r="Q463" s="26"/>
    </row>
    <row r="464">
      <c r="O464" s="25"/>
      <c r="P464" s="26"/>
      <c r="Q464" s="26"/>
    </row>
    <row r="465">
      <c r="O465" s="25"/>
      <c r="P465" s="26"/>
      <c r="Q465" s="26"/>
    </row>
    <row r="466">
      <c r="O466" s="25"/>
      <c r="P466" s="26"/>
      <c r="Q466" s="26"/>
    </row>
    <row r="467">
      <c r="O467" s="25"/>
      <c r="P467" s="26"/>
      <c r="Q467" s="26"/>
    </row>
    <row r="468">
      <c r="O468" s="25"/>
      <c r="P468" s="26"/>
      <c r="Q468" s="26"/>
    </row>
    <row r="469">
      <c r="O469" s="25"/>
      <c r="P469" s="26"/>
      <c r="Q469" s="26"/>
    </row>
    <row r="470">
      <c r="O470" s="25"/>
      <c r="P470" s="26"/>
      <c r="Q470" s="26"/>
    </row>
    <row r="471">
      <c r="O471" s="25"/>
      <c r="P471" s="26"/>
      <c r="Q471" s="26"/>
    </row>
    <row r="472">
      <c r="O472" s="25"/>
      <c r="P472" s="26"/>
      <c r="Q472" s="26"/>
    </row>
    <row r="473">
      <c r="O473" s="25"/>
      <c r="P473" s="26"/>
      <c r="Q473" s="26"/>
    </row>
    <row r="474">
      <c r="O474" s="25"/>
      <c r="P474" s="26"/>
      <c r="Q474" s="26"/>
    </row>
    <row r="475">
      <c r="O475" s="25"/>
      <c r="P475" s="26"/>
      <c r="Q475" s="26"/>
    </row>
    <row r="476">
      <c r="O476" s="25"/>
      <c r="P476" s="26"/>
      <c r="Q476" s="26"/>
    </row>
    <row r="477">
      <c r="O477" s="25"/>
      <c r="P477" s="26"/>
      <c r="Q477" s="26"/>
    </row>
    <row r="478">
      <c r="O478" s="25"/>
      <c r="P478" s="26"/>
      <c r="Q478" s="26"/>
    </row>
    <row r="479">
      <c r="O479" s="25"/>
      <c r="P479" s="26"/>
      <c r="Q479" s="26"/>
    </row>
    <row r="480">
      <c r="O480" s="25"/>
      <c r="P480" s="26"/>
      <c r="Q480" s="26"/>
    </row>
    <row r="481">
      <c r="O481" s="25"/>
      <c r="P481" s="26"/>
      <c r="Q481" s="26"/>
    </row>
    <row r="482">
      <c r="O482" s="25"/>
      <c r="P482" s="26"/>
      <c r="Q482" s="26"/>
    </row>
    <row r="483">
      <c r="O483" s="25"/>
      <c r="P483" s="26"/>
      <c r="Q483" s="26"/>
    </row>
    <row r="484">
      <c r="O484" s="25"/>
      <c r="P484" s="26"/>
      <c r="Q484" s="26"/>
    </row>
    <row r="485">
      <c r="O485" s="25"/>
      <c r="P485" s="26"/>
      <c r="Q485" s="26"/>
    </row>
    <row r="486">
      <c r="O486" s="25"/>
      <c r="P486" s="26"/>
      <c r="Q486" s="26"/>
    </row>
    <row r="487">
      <c r="O487" s="25"/>
      <c r="P487" s="26"/>
      <c r="Q487" s="26"/>
    </row>
    <row r="488">
      <c r="O488" s="25"/>
      <c r="P488" s="26"/>
      <c r="Q488" s="26"/>
    </row>
    <row r="489">
      <c r="O489" s="25"/>
      <c r="P489" s="26"/>
      <c r="Q489" s="26"/>
    </row>
    <row r="490">
      <c r="O490" s="25"/>
      <c r="P490" s="26"/>
      <c r="Q490" s="26"/>
    </row>
    <row r="491">
      <c r="O491" s="25"/>
      <c r="P491" s="26"/>
      <c r="Q491" s="26"/>
    </row>
    <row r="492">
      <c r="O492" s="25"/>
      <c r="P492" s="26"/>
      <c r="Q492" s="26"/>
    </row>
    <row r="493">
      <c r="O493" s="25"/>
      <c r="P493" s="26"/>
      <c r="Q493" s="26"/>
    </row>
    <row r="494">
      <c r="O494" s="25"/>
      <c r="P494" s="26"/>
      <c r="Q494" s="26"/>
    </row>
    <row r="495">
      <c r="O495" s="25"/>
      <c r="P495" s="26"/>
      <c r="Q495" s="26"/>
    </row>
    <row r="496">
      <c r="O496" s="25"/>
      <c r="P496" s="26"/>
      <c r="Q496" s="26"/>
    </row>
    <row r="497">
      <c r="O497" s="25"/>
      <c r="P497" s="26"/>
      <c r="Q497" s="26"/>
    </row>
    <row r="498">
      <c r="O498" s="25"/>
      <c r="P498" s="26"/>
      <c r="Q498" s="26"/>
    </row>
    <row r="499">
      <c r="O499" s="25"/>
      <c r="P499" s="26"/>
      <c r="Q499" s="26"/>
    </row>
    <row r="500">
      <c r="O500" s="25"/>
      <c r="P500" s="26"/>
      <c r="Q500" s="26"/>
    </row>
    <row r="501">
      <c r="O501" s="25"/>
      <c r="P501" s="26"/>
      <c r="Q501" s="26"/>
    </row>
    <row r="502">
      <c r="O502" s="25"/>
      <c r="P502" s="26"/>
      <c r="Q502" s="26"/>
    </row>
    <row r="503">
      <c r="O503" s="25"/>
      <c r="P503" s="26"/>
      <c r="Q503" s="26"/>
    </row>
    <row r="504">
      <c r="O504" s="25"/>
      <c r="P504" s="26"/>
      <c r="Q504" s="26"/>
    </row>
    <row r="505">
      <c r="O505" s="25"/>
      <c r="P505" s="26"/>
      <c r="Q505" s="26"/>
    </row>
    <row r="506">
      <c r="O506" s="25"/>
      <c r="P506" s="26"/>
      <c r="Q506" s="26"/>
    </row>
    <row r="507">
      <c r="O507" s="25"/>
      <c r="P507" s="26"/>
      <c r="Q507" s="26"/>
    </row>
    <row r="508">
      <c r="O508" s="25"/>
      <c r="P508" s="26"/>
      <c r="Q508" s="26"/>
    </row>
    <row r="509">
      <c r="O509" s="25"/>
      <c r="P509" s="26"/>
      <c r="Q509" s="26"/>
    </row>
    <row r="510">
      <c r="O510" s="25"/>
      <c r="P510" s="26"/>
      <c r="Q510" s="26"/>
    </row>
    <row r="511">
      <c r="O511" s="25"/>
      <c r="P511" s="26"/>
      <c r="Q511" s="26"/>
    </row>
    <row r="512">
      <c r="O512" s="25"/>
      <c r="P512" s="26"/>
      <c r="Q512" s="26"/>
    </row>
    <row r="513">
      <c r="O513" s="25"/>
      <c r="P513" s="26"/>
      <c r="Q513" s="26"/>
    </row>
    <row r="514">
      <c r="O514" s="25"/>
      <c r="P514" s="26"/>
      <c r="Q514" s="26"/>
    </row>
    <row r="515">
      <c r="O515" s="25"/>
      <c r="P515" s="26"/>
      <c r="Q515" s="26"/>
    </row>
    <row r="516">
      <c r="O516" s="25"/>
      <c r="P516" s="26"/>
      <c r="Q516" s="26"/>
    </row>
    <row r="517">
      <c r="O517" s="25"/>
      <c r="P517" s="26"/>
      <c r="Q517" s="26"/>
    </row>
    <row r="518">
      <c r="O518" s="25"/>
      <c r="P518" s="26"/>
      <c r="Q518" s="26"/>
    </row>
    <row r="519">
      <c r="O519" s="25"/>
      <c r="P519" s="26"/>
      <c r="Q519" s="26"/>
    </row>
    <row r="520">
      <c r="O520" s="25"/>
      <c r="P520" s="26"/>
      <c r="Q520" s="26"/>
    </row>
    <row r="521">
      <c r="O521" s="25"/>
      <c r="P521" s="26"/>
      <c r="Q521" s="26"/>
    </row>
    <row r="522">
      <c r="O522" s="25"/>
      <c r="P522" s="26"/>
      <c r="Q522" s="26"/>
    </row>
    <row r="523">
      <c r="O523" s="25"/>
      <c r="P523" s="26"/>
      <c r="Q523" s="26"/>
    </row>
    <row r="524">
      <c r="O524" s="25"/>
      <c r="P524" s="26"/>
      <c r="Q524" s="26"/>
    </row>
    <row r="525">
      <c r="O525" s="25"/>
      <c r="P525" s="26"/>
      <c r="Q525" s="26"/>
    </row>
    <row r="526">
      <c r="O526" s="25"/>
      <c r="P526" s="26"/>
      <c r="Q526" s="26"/>
    </row>
    <row r="527">
      <c r="O527" s="25"/>
      <c r="P527" s="26"/>
      <c r="Q527" s="26"/>
    </row>
    <row r="528">
      <c r="O528" s="25"/>
      <c r="P528" s="26"/>
      <c r="Q528" s="26"/>
    </row>
    <row r="529">
      <c r="O529" s="25"/>
      <c r="P529" s="26"/>
      <c r="Q529" s="26"/>
    </row>
    <row r="530">
      <c r="O530" s="25"/>
      <c r="P530" s="26"/>
      <c r="Q530" s="26"/>
    </row>
    <row r="531">
      <c r="O531" s="25"/>
      <c r="P531" s="26"/>
      <c r="Q531" s="26"/>
    </row>
    <row r="532">
      <c r="O532" s="25"/>
      <c r="P532" s="26"/>
      <c r="Q532" s="26"/>
    </row>
    <row r="533">
      <c r="O533" s="25"/>
      <c r="P533" s="26"/>
      <c r="Q533" s="26"/>
    </row>
    <row r="534">
      <c r="O534" s="25"/>
      <c r="P534" s="26"/>
      <c r="Q534" s="26"/>
    </row>
    <row r="535">
      <c r="O535" s="25"/>
      <c r="P535" s="26"/>
      <c r="Q535" s="26"/>
    </row>
    <row r="536">
      <c r="O536" s="25"/>
      <c r="P536" s="26"/>
      <c r="Q536" s="26"/>
    </row>
    <row r="537">
      <c r="O537" s="25"/>
      <c r="P537" s="26"/>
      <c r="Q537" s="26"/>
    </row>
    <row r="538">
      <c r="O538" s="25"/>
      <c r="P538" s="26"/>
      <c r="Q538" s="26"/>
    </row>
    <row r="539">
      <c r="O539" s="25"/>
      <c r="P539" s="26"/>
      <c r="Q539" s="26"/>
    </row>
    <row r="540">
      <c r="O540" s="25"/>
      <c r="P540" s="26"/>
      <c r="Q540" s="26"/>
    </row>
    <row r="541">
      <c r="O541" s="25"/>
      <c r="P541" s="26"/>
      <c r="Q541" s="26"/>
    </row>
    <row r="542">
      <c r="O542" s="25"/>
      <c r="P542" s="26"/>
      <c r="Q542" s="26"/>
    </row>
    <row r="543">
      <c r="O543" s="25"/>
      <c r="P543" s="26"/>
      <c r="Q543" s="26"/>
    </row>
    <row r="544">
      <c r="O544" s="25"/>
      <c r="P544" s="26"/>
      <c r="Q544" s="26"/>
    </row>
    <row r="545">
      <c r="O545" s="25"/>
      <c r="P545" s="26"/>
      <c r="Q545" s="26"/>
    </row>
    <row r="546">
      <c r="O546" s="25"/>
      <c r="P546" s="26"/>
      <c r="Q546" s="26"/>
    </row>
    <row r="547">
      <c r="O547" s="25"/>
      <c r="P547" s="26"/>
      <c r="Q547" s="26"/>
    </row>
    <row r="548">
      <c r="O548" s="25"/>
      <c r="P548" s="26"/>
      <c r="Q548" s="26"/>
    </row>
    <row r="549">
      <c r="O549" s="25"/>
      <c r="P549" s="26"/>
      <c r="Q549" s="26"/>
    </row>
    <row r="550">
      <c r="O550" s="25"/>
      <c r="P550" s="26"/>
      <c r="Q550" s="26"/>
    </row>
    <row r="551">
      <c r="O551" s="25"/>
      <c r="P551" s="26"/>
      <c r="Q551" s="26"/>
    </row>
    <row r="552">
      <c r="O552" s="25"/>
      <c r="P552" s="26"/>
      <c r="Q552" s="26"/>
    </row>
    <row r="553">
      <c r="O553" s="25"/>
      <c r="P553" s="26"/>
      <c r="Q553" s="26"/>
    </row>
    <row r="554">
      <c r="O554" s="25"/>
      <c r="P554" s="26"/>
      <c r="Q554" s="26"/>
    </row>
    <row r="555">
      <c r="O555" s="25"/>
      <c r="P555" s="26"/>
      <c r="Q555" s="26"/>
    </row>
    <row r="556">
      <c r="O556" s="25"/>
      <c r="P556" s="26"/>
      <c r="Q556" s="26"/>
    </row>
    <row r="557">
      <c r="O557" s="25"/>
      <c r="P557" s="26"/>
      <c r="Q557" s="26"/>
    </row>
    <row r="558">
      <c r="O558" s="25"/>
      <c r="P558" s="26"/>
      <c r="Q558" s="26"/>
    </row>
    <row r="559">
      <c r="O559" s="25"/>
      <c r="P559" s="26"/>
      <c r="Q559" s="26"/>
    </row>
    <row r="560">
      <c r="O560" s="25"/>
      <c r="P560" s="26"/>
      <c r="Q560" s="26"/>
    </row>
    <row r="561">
      <c r="O561" s="25"/>
      <c r="P561" s="26"/>
      <c r="Q561" s="26"/>
    </row>
    <row r="562">
      <c r="O562" s="25"/>
      <c r="P562" s="26"/>
      <c r="Q562" s="26"/>
    </row>
    <row r="563">
      <c r="O563" s="25"/>
      <c r="P563" s="26"/>
      <c r="Q563" s="26"/>
    </row>
    <row r="564">
      <c r="O564" s="25"/>
      <c r="P564" s="26"/>
      <c r="Q564" s="26"/>
    </row>
    <row r="565">
      <c r="O565" s="25"/>
      <c r="P565" s="26"/>
      <c r="Q565" s="26"/>
    </row>
    <row r="566">
      <c r="O566" s="25"/>
      <c r="P566" s="26"/>
      <c r="Q566" s="26"/>
    </row>
    <row r="567">
      <c r="O567" s="25"/>
      <c r="P567" s="26"/>
      <c r="Q567" s="26"/>
    </row>
    <row r="568">
      <c r="O568" s="25"/>
      <c r="P568" s="26"/>
      <c r="Q568" s="26"/>
    </row>
    <row r="569">
      <c r="O569" s="25"/>
      <c r="P569" s="26"/>
      <c r="Q569" s="26"/>
    </row>
    <row r="570">
      <c r="O570" s="25"/>
      <c r="P570" s="26"/>
      <c r="Q570" s="26"/>
    </row>
    <row r="571">
      <c r="O571" s="25"/>
      <c r="P571" s="26"/>
      <c r="Q571" s="26"/>
    </row>
    <row r="572">
      <c r="O572" s="25"/>
      <c r="P572" s="26"/>
      <c r="Q572" s="26"/>
    </row>
    <row r="573">
      <c r="O573" s="25"/>
      <c r="P573" s="26"/>
      <c r="Q573" s="26"/>
    </row>
    <row r="574">
      <c r="O574" s="25"/>
      <c r="P574" s="26"/>
      <c r="Q574" s="26"/>
    </row>
    <row r="575">
      <c r="O575" s="25"/>
      <c r="P575" s="26"/>
      <c r="Q575" s="26"/>
    </row>
    <row r="576">
      <c r="O576" s="25"/>
      <c r="P576" s="26"/>
      <c r="Q576" s="26"/>
    </row>
    <row r="577">
      <c r="O577" s="25"/>
      <c r="P577" s="26"/>
      <c r="Q577" s="26"/>
    </row>
    <row r="578">
      <c r="O578" s="25"/>
      <c r="P578" s="26"/>
      <c r="Q578" s="26"/>
    </row>
    <row r="579">
      <c r="O579" s="25"/>
      <c r="P579" s="26"/>
      <c r="Q579" s="26"/>
    </row>
    <row r="580">
      <c r="O580" s="25"/>
      <c r="P580" s="26"/>
      <c r="Q580" s="26"/>
    </row>
    <row r="581">
      <c r="O581" s="25"/>
      <c r="P581" s="26"/>
      <c r="Q581" s="26"/>
    </row>
    <row r="582">
      <c r="O582" s="25"/>
      <c r="P582" s="26"/>
      <c r="Q582" s="26"/>
    </row>
    <row r="583">
      <c r="O583" s="25"/>
      <c r="P583" s="26"/>
      <c r="Q583" s="26"/>
    </row>
    <row r="584">
      <c r="O584" s="25"/>
      <c r="P584" s="26"/>
      <c r="Q584" s="26"/>
    </row>
    <row r="585">
      <c r="O585" s="25"/>
      <c r="P585" s="26"/>
      <c r="Q585" s="26"/>
    </row>
    <row r="586">
      <c r="O586" s="25"/>
      <c r="P586" s="26"/>
      <c r="Q586" s="26"/>
    </row>
    <row r="587">
      <c r="O587" s="25"/>
      <c r="P587" s="26"/>
      <c r="Q587" s="26"/>
    </row>
    <row r="588">
      <c r="O588" s="25"/>
      <c r="P588" s="26"/>
      <c r="Q588" s="26"/>
    </row>
    <row r="589">
      <c r="O589" s="25"/>
      <c r="P589" s="26"/>
      <c r="Q589" s="26"/>
    </row>
    <row r="590">
      <c r="O590" s="25"/>
      <c r="P590" s="26"/>
      <c r="Q590" s="26"/>
    </row>
    <row r="591">
      <c r="O591" s="25"/>
      <c r="P591" s="26"/>
      <c r="Q591" s="26"/>
    </row>
    <row r="592">
      <c r="O592" s="25"/>
      <c r="P592" s="26"/>
      <c r="Q592" s="26"/>
    </row>
    <row r="593">
      <c r="O593" s="25"/>
      <c r="P593" s="26"/>
      <c r="Q593" s="26"/>
    </row>
    <row r="594">
      <c r="O594" s="25"/>
      <c r="P594" s="26"/>
      <c r="Q594" s="26"/>
    </row>
    <row r="595">
      <c r="O595" s="25"/>
      <c r="P595" s="26"/>
      <c r="Q595" s="26"/>
    </row>
    <row r="596">
      <c r="O596" s="25"/>
      <c r="P596" s="26"/>
      <c r="Q596" s="26"/>
    </row>
    <row r="597">
      <c r="O597" s="25"/>
      <c r="P597" s="26"/>
      <c r="Q597" s="26"/>
    </row>
    <row r="598">
      <c r="O598" s="25"/>
      <c r="P598" s="26"/>
      <c r="Q598" s="26"/>
    </row>
    <row r="599">
      <c r="O599" s="25"/>
      <c r="P599" s="26"/>
      <c r="Q599" s="26"/>
    </row>
    <row r="600">
      <c r="O600" s="25"/>
      <c r="P600" s="26"/>
      <c r="Q600" s="26"/>
    </row>
    <row r="601">
      <c r="O601" s="25"/>
      <c r="P601" s="26"/>
      <c r="Q601" s="26"/>
    </row>
    <row r="602">
      <c r="O602" s="25"/>
      <c r="P602" s="26"/>
      <c r="Q602" s="26"/>
    </row>
    <row r="603">
      <c r="O603" s="25"/>
      <c r="P603" s="26"/>
      <c r="Q603" s="26"/>
    </row>
    <row r="604">
      <c r="O604" s="25"/>
      <c r="P604" s="26"/>
      <c r="Q604" s="26"/>
    </row>
    <row r="605">
      <c r="O605" s="25"/>
      <c r="P605" s="26"/>
      <c r="Q605" s="26"/>
    </row>
    <row r="606">
      <c r="O606" s="25"/>
      <c r="P606" s="26"/>
      <c r="Q606" s="26"/>
    </row>
    <row r="607">
      <c r="O607" s="25"/>
      <c r="P607" s="26"/>
      <c r="Q607" s="26"/>
    </row>
    <row r="608">
      <c r="O608" s="25"/>
      <c r="P608" s="26"/>
      <c r="Q608" s="26"/>
    </row>
    <row r="609">
      <c r="O609" s="25"/>
      <c r="P609" s="26"/>
      <c r="Q609" s="26"/>
    </row>
    <row r="610">
      <c r="O610" s="25"/>
      <c r="P610" s="26"/>
      <c r="Q610" s="26"/>
    </row>
    <row r="611">
      <c r="O611" s="25"/>
      <c r="P611" s="26"/>
      <c r="Q611" s="26"/>
    </row>
    <row r="612">
      <c r="O612" s="25"/>
      <c r="P612" s="26"/>
      <c r="Q612" s="26"/>
    </row>
    <row r="613">
      <c r="O613" s="25"/>
      <c r="P613" s="26"/>
      <c r="Q613" s="26"/>
    </row>
    <row r="614">
      <c r="O614" s="25"/>
      <c r="P614" s="26"/>
      <c r="Q614" s="26"/>
    </row>
    <row r="615">
      <c r="O615" s="25"/>
      <c r="P615" s="26"/>
      <c r="Q615" s="26"/>
    </row>
    <row r="616">
      <c r="O616" s="25"/>
      <c r="P616" s="26"/>
      <c r="Q616" s="26"/>
    </row>
    <row r="617">
      <c r="O617" s="25"/>
      <c r="P617" s="26"/>
      <c r="Q617" s="26"/>
    </row>
    <row r="618">
      <c r="O618" s="25"/>
      <c r="P618" s="26"/>
      <c r="Q618" s="26"/>
    </row>
    <row r="619">
      <c r="O619" s="25"/>
      <c r="P619" s="26"/>
      <c r="Q619" s="26"/>
    </row>
    <row r="620">
      <c r="O620" s="25"/>
      <c r="P620" s="26"/>
      <c r="Q620" s="26"/>
    </row>
    <row r="621">
      <c r="O621" s="25"/>
      <c r="P621" s="26"/>
      <c r="Q621" s="26"/>
    </row>
    <row r="622">
      <c r="O622" s="25"/>
      <c r="P622" s="26"/>
      <c r="Q622" s="26"/>
    </row>
    <row r="623">
      <c r="O623" s="25"/>
      <c r="P623" s="26"/>
      <c r="Q623" s="26"/>
    </row>
    <row r="624">
      <c r="O624" s="25"/>
      <c r="P624" s="26"/>
      <c r="Q624" s="26"/>
    </row>
    <row r="625">
      <c r="O625" s="25"/>
      <c r="P625" s="26"/>
      <c r="Q625" s="26"/>
    </row>
    <row r="626">
      <c r="O626" s="25"/>
      <c r="P626" s="26"/>
      <c r="Q626" s="26"/>
    </row>
    <row r="627">
      <c r="O627" s="25"/>
      <c r="P627" s="26"/>
      <c r="Q627" s="26"/>
    </row>
    <row r="628">
      <c r="O628" s="25"/>
      <c r="P628" s="26"/>
      <c r="Q628" s="26"/>
    </row>
    <row r="629">
      <c r="O629" s="25"/>
      <c r="P629" s="26"/>
      <c r="Q629" s="26"/>
    </row>
    <row r="630">
      <c r="O630" s="25"/>
      <c r="P630" s="26"/>
      <c r="Q630" s="26"/>
    </row>
    <row r="631">
      <c r="O631" s="25"/>
      <c r="P631" s="26"/>
      <c r="Q631" s="26"/>
    </row>
    <row r="632">
      <c r="O632" s="25"/>
      <c r="P632" s="26"/>
      <c r="Q632" s="26"/>
    </row>
    <row r="633">
      <c r="O633" s="25"/>
      <c r="P633" s="26"/>
      <c r="Q633" s="26"/>
    </row>
    <row r="634">
      <c r="O634" s="25"/>
      <c r="P634" s="26"/>
      <c r="Q634" s="26"/>
    </row>
    <row r="635">
      <c r="O635" s="25"/>
      <c r="P635" s="26"/>
      <c r="Q635" s="26"/>
    </row>
    <row r="636">
      <c r="O636" s="25"/>
      <c r="P636" s="26"/>
      <c r="Q636" s="26"/>
    </row>
    <row r="637">
      <c r="O637" s="25"/>
      <c r="P637" s="26"/>
      <c r="Q637" s="26"/>
    </row>
    <row r="638">
      <c r="O638" s="25"/>
      <c r="P638" s="26"/>
      <c r="Q638" s="26"/>
    </row>
    <row r="639">
      <c r="O639" s="25"/>
      <c r="P639" s="26"/>
      <c r="Q639" s="26"/>
    </row>
    <row r="640">
      <c r="O640" s="25"/>
      <c r="P640" s="26"/>
      <c r="Q640" s="26"/>
    </row>
    <row r="641">
      <c r="O641" s="25"/>
      <c r="P641" s="26"/>
      <c r="Q641" s="26"/>
    </row>
    <row r="642">
      <c r="O642" s="25"/>
      <c r="P642" s="26"/>
      <c r="Q642" s="26"/>
    </row>
    <row r="643">
      <c r="O643" s="25"/>
      <c r="P643" s="26"/>
      <c r="Q643" s="26"/>
    </row>
    <row r="644">
      <c r="O644" s="25"/>
      <c r="P644" s="26"/>
      <c r="Q644" s="26"/>
    </row>
    <row r="645">
      <c r="O645" s="25"/>
      <c r="P645" s="26"/>
      <c r="Q645" s="26"/>
    </row>
    <row r="646">
      <c r="O646" s="25"/>
      <c r="P646" s="26"/>
      <c r="Q646" s="26"/>
    </row>
    <row r="647">
      <c r="O647" s="25"/>
      <c r="P647" s="26"/>
      <c r="Q647" s="26"/>
    </row>
    <row r="648">
      <c r="O648" s="25"/>
      <c r="P648" s="26"/>
      <c r="Q648" s="26"/>
    </row>
    <row r="649">
      <c r="O649" s="25"/>
      <c r="P649" s="26"/>
      <c r="Q649" s="26"/>
    </row>
    <row r="650">
      <c r="O650" s="25"/>
      <c r="P650" s="26"/>
      <c r="Q650" s="26"/>
    </row>
    <row r="651">
      <c r="O651" s="25"/>
      <c r="P651" s="26"/>
      <c r="Q651" s="26"/>
    </row>
    <row r="652">
      <c r="O652" s="25"/>
      <c r="P652" s="26"/>
      <c r="Q652" s="26"/>
    </row>
    <row r="653">
      <c r="O653" s="25"/>
      <c r="P653" s="26"/>
      <c r="Q653" s="26"/>
    </row>
    <row r="654">
      <c r="O654" s="25"/>
      <c r="P654" s="26"/>
      <c r="Q654" s="26"/>
    </row>
    <row r="655">
      <c r="O655" s="25"/>
      <c r="P655" s="26"/>
      <c r="Q655" s="26"/>
    </row>
    <row r="656">
      <c r="O656" s="25"/>
      <c r="P656" s="26"/>
      <c r="Q656" s="26"/>
    </row>
    <row r="657">
      <c r="O657" s="25"/>
      <c r="P657" s="26"/>
      <c r="Q657" s="26"/>
    </row>
    <row r="658">
      <c r="O658" s="25"/>
      <c r="P658" s="26"/>
      <c r="Q658" s="26"/>
    </row>
    <row r="659">
      <c r="O659" s="25"/>
      <c r="P659" s="26"/>
      <c r="Q659" s="26"/>
    </row>
    <row r="660">
      <c r="O660" s="25"/>
      <c r="P660" s="26"/>
      <c r="Q660" s="26"/>
    </row>
    <row r="661">
      <c r="O661" s="25"/>
      <c r="P661" s="26"/>
      <c r="Q661" s="26"/>
    </row>
    <row r="662">
      <c r="O662" s="25"/>
      <c r="P662" s="26"/>
      <c r="Q662" s="26"/>
    </row>
    <row r="663">
      <c r="O663" s="25"/>
      <c r="P663" s="26"/>
      <c r="Q663" s="26"/>
    </row>
    <row r="664">
      <c r="O664" s="25"/>
      <c r="P664" s="26"/>
      <c r="Q664" s="26"/>
    </row>
    <row r="665">
      <c r="O665" s="25"/>
      <c r="P665" s="26"/>
      <c r="Q665" s="26"/>
    </row>
    <row r="666">
      <c r="O666" s="25"/>
      <c r="P666" s="26"/>
      <c r="Q666" s="26"/>
    </row>
    <row r="667">
      <c r="O667" s="25"/>
      <c r="P667" s="26"/>
      <c r="Q667" s="26"/>
    </row>
    <row r="668">
      <c r="O668" s="25"/>
      <c r="P668" s="26"/>
      <c r="Q668" s="26"/>
    </row>
    <row r="669">
      <c r="O669" s="25"/>
      <c r="P669" s="26"/>
      <c r="Q669" s="26"/>
    </row>
    <row r="670">
      <c r="O670" s="25"/>
      <c r="P670" s="26"/>
      <c r="Q670" s="26"/>
    </row>
    <row r="671">
      <c r="O671" s="25"/>
      <c r="P671" s="26"/>
      <c r="Q671" s="26"/>
    </row>
    <row r="672">
      <c r="O672" s="25"/>
      <c r="P672" s="26"/>
      <c r="Q672" s="26"/>
    </row>
    <row r="673">
      <c r="O673" s="25"/>
      <c r="P673" s="26"/>
      <c r="Q673" s="26"/>
    </row>
    <row r="674">
      <c r="O674" s="25"/>
      <c r="P674" s="26"/>
      <c r="Q674" s="26"/>
    </row>
    <row r="675">
      <c r="O675" s="25"/>
      <c r="P675" s="26"/>
      <c r="Q675" s="26"/>
    </row>
    <row r="676">
      <c r="O676" s="25"/>
      <c r="P676" s="26"/>
      <c r="Q676" s="26"/>
    </row>
    <row r="677">
      <c r="O677" s="25"/>
      <c r="P677" s="26"/>
      <c r="Q677" s="26"/>
    </row>
    <row r="678">
      <c r="O678" s="25"/>
      <c r="P678" s="26"/>
      <c r="Q678" s="26"/>
    </row>
    <row r="679">
      <c r="O679" s="25"/>
      <c r="P679" s="26"/>
      <c r="Q679" s="26"/>
    </row>
    <row r="680">
      <c r="O680" s="25"/>
      <c r="P680" s="26"/>
      <c r="Q680" s="26"/>
    </row>
    <row r="681">
      <c r="O681" s="25"/>
      <c r="P681" s="26"/>
      <c r="Q681" s="26"/>
    </row>
    <row r="682">
      <c r="O682" s="25"/>
      <c r="P682" s="26"/>
      <c r="Q682" s="26"/>
    </row>
    <row r="683">
      <c r="O683" s="25"/>
      <c r="P683" s="26"/>
      <c r="Q683" s="26"/>
    </row>
    <row r="684">
      <c r="O684" s="25"/>
      <c r="P684" s="26"/>
      <c r="Q684" s="26"/>
    </row>
    <row r="685">
      <c r="O685" s="25"/>
      <c r="P685" s="26"/>
      <c r="Q685" s="26"/>
    </row>
    <row r="686">
      <c r="O686" s="25"/>
      <c r="P686" s="26"/>
      <c r="Q686" s="26"/>
    </row>
    <row r="687">
      <c r="O687" s="25"/>
      <c r="P687" s="26"/>
      <c r="Q687" s="26"/>
    </row>
    <row r="688">
      <c r="O688" s="25"/>
      <c r="P688" s="26"/>
      <c r="Q688" s="26"/>
    </row>
    <row r="689">
      <c r="O689" s="25"/>
      <c r="P689" s="26"/>
      <c r="Q689" s="26"/>
    </row>
    <row r="690">
      <c r="O690" s="25"/>
      <c r="P690" s="26"/>
      <c r="Q690" s="26"/>
    </row>
    <row r="691">
      <c r="O691" s="25"/>
      <c r="P691" s="26"/>
      <c r="Q691" s="26"/>
    </row>
    <row r="692">
      <c r="O692" s="25"/>
      <c r="P692" s="26"/>
      <c r="Q692" s="26"/>
    </row>
    <row r="693">
      <c r="O693" s="25"/>
      <c r="P693" s="26"/>
      <c r="Q693" s="26"/>
    </row>
    <row r="694">
      <c r="O694" s="25"/>
      <c r="P694" s="26"/>
      <c r="Q694" s="26"/>
    </row>
    <row r="695">
      <c r="O695" s="25"/>
      <c r="P695" s="26"/>
      <c r="Q695" s="26"/>
    </row>
    <row r="696">
      <c r="O696" s="25"/>
      <c r="P696" s="26"/>
      <c r="Q696" s="26"/>
    </row>
    <row r="697">
      <c r="O697" s="25"/>
      <c r="P697" s="26"/>
      <c r="Q697" s="26"/>
    </row>
    <row r="698">
      <c r="O698" s="25"/>
      <c r="P698" s="26"/>
      <c r="Q698" s="26"/>
    </row>
    <row r="699">
      <c r="O699" s="25"/>
      <c r="P699" s="26"/>
      <c r="Q699" s="26"/>
    </row>
    <row r="700">
      <c r="O700" s="25"/>
      <c r="P700" s="26"/>
      <c r="Q700" s="26"/>
    </row>
    <row r="701">
      <c r="O701" s="25"/>
      <c r="P701" s="26"/>
      <c r="Q701" s="26"/>
    </row>
    <row r="702">
      <c r="O702" s="25"/>
      <c r="P702" s="26"/>
      <c r="Q702" s="26"/>
    </row>
    <row r="703">
      <c r="O703" s="25"/>
      <c r="P703" s="26"/>
      <c r="Q703" s="26"/>
    </row>
    <row r="704">
      <c r="O704" s="25"/>
      <c r="P704" s="26"/>
      <c r="Q704" s="26"/>
    </row>
    <row r="705">
      <c r="O705" s="25"/>
      <c r="P705" s="26"/>
      <c r="Q705" s="26"/>
    </row>
    <row r="706">
      <c r="O706" s="25"/>
      <c r="P706" s="26"/>
      <c r="Q706" s="26"/>
    </row>
    <row r="707">
      <c r="O707" s="25"/>
      <c r="P707" s="26"/>
      <c r="Q707" s="26"/>
    </row>
    <row r="708">
      <c r="O708" s="25"/>
      <c r="P708" s="26"/>
      <c r="Q708" s="26"/>
    </row>
    <row r="709">
      <c r="O709" s="25"/>
      <c r="P709" s="26"/>
      <c r="Q709" s="26"/>
    </row>
    <row r="710">
      <c r="O710" s="25"/>
      <c r="P710" s="26"/>
      <c r="Q710" s="26"/>
    </row>
    <row r="711">
      <c r="O711" s="25"/>
      <c r="P711" s="26"/>
      <c r="Q711" s="26"/>
    </row>
    <row r="712">
      <c r="O712" s="25"/>
      <c r="P712" s="26"/>
      <c r="Q712" s="26"/>
    </row>
    <row r="713">
      <c r="O713" s="25"/>
      <c r="P713" s="26"/>
      <c r="Q713" s="26"/>
    </row>
    <row r="714">
      <c r="O714" s="25"/>
      <c r="P714" s="26"/>
      <c r="Q714" s="26"/>
    </row>
    <row r="715">
      <c r="O715" s="25"/>
      <c r="P715" s="26"/>
      <c r="Q715" s="26"/>
    </row>
    <row r="716">
      <c r="O716" s="25"/>
      <c r="P716" s="26"/>
      <c r="Q716" s="26"/>
    </row>
    <row r="717">
      <c r="O717" s="25"/>
      <c r="P717" s="26"/>
      <c r="Q717" s="26"/>
    </row>
    <row r="718">
      <c r="O718" s="25"/>
      <c r="P718" s="26"/>
      <c r="Q718" s="26"/>
    </row>
    <row r="719">
      <c r="O719" s="25"/>
      <c r="P719" s="26"/>
      <c r="Q719" s="26"/>
    </row>
    <row r="720">
      <c r="O720" s="25"/>
      <c r="P720" s="26"/>
      <c r="Q720" s="26"/>
    </row>
    <row r="721">
      <c r="O721" s="25"/>
      <c r="P721" s="26"/>
      <c r="Q721" s="26"/>
    </row>
    <row r="722">
      <c r="O722" s="25"/>
      <c r="P722" s="26"/>
      <c r="Q722" s="26"/>
    </row>
    <row r="723">
      <c r="O723" s="25"/>
      <c r="P723" s="26"/>
      <c r="Q723" s="26"/>
    </row>
    <row r="724">
      <c r="O724" s="25"/>
      <c r="P724" s="26"/>
      <c r="Q724" s="26"/>
    </row>
    <row r="725">
      <c r="O725" s="25"/>
      <c r="P725" s="26"/>
      <c r="Q725" s="26"/>
    </row>
    <row r="726">
      <c r="O726" s="25"/>
      <c r="P726" s="26"/>
      <c r="Q726" s="26"/>
    </row>
    <row r="727">
      <c r="O727" s="25"/>
      <c r="P727" s="26"/>
      <c r="Q727" s="26"/>
    </row>
    <row r="728">
      <c r="O728" s="25"/>
      <c r="P728" s="26"/>
      <c r="Q728" s="26"/>
    </row>
    <row r="729">
      <c r="O729" s="25"/>
      <c r="P729" s="26"/>
      <c r="Q729" s="26"/>
    </row>
    <row r="730">
      <c r="O730" s="25"/>
      <c r="P730" s="26"/>
      <c r="Q730" s="26"/>
    </row>
    <row r="731">
      <c r="O731" s="25"/>
      <c r="P731" s="26"/>
      <c r="Q731" s="26"/>
    </row>
    <row r="732">
      <c r="O732" s="25"/>
      <c r="P732" s="26"/>
      <c r="Q732" s="26"/>
    </row>
    <row r="733">
      <c r="O733" s="25"/>
      <c r="P733" s="26"/>
      <c r="Q733" s="26"/>
    </row>
    <row r="734">
      <c r="O734" s="25"/>
      <c r="P734" s="26"/>
      <c r="Q734" s="26"/>
    </row>
    <row r="735">
      <c r="O735" s="25"/>
      <c r="P735" s="26"/>
      <c r="Q735" s="26"/>
    </row>
    <row r="736">
      <c r="O736" s="25"/>
      <c r="P736" s="26"/>
      <c r="Q736" s="26"/>
    </row>
    <row r="737">
      <c r="O737" s="25"/>
      <c r="P737" s="26"/>
      <c r="Q737" s="26"/>
    </row>
    <row r="738">
      <c r="O738" s="25"/>
      <c r="P738" s="26"/>
      <c r="Q738" s="26"/>
    </row>
    <row r="739">
      <c r="O739" s="25"/>
      <c r="P739" s="26"/>
      <c r="Q739" s="26"/>
    </row>
    <row r="740">
      <c r="O740" s="25"/>
      <c r="P740" s="26"/>
      <c r="Q740" s="26"/>
    </row>
    <row r="741">
      <c r="O741" s="25"/>
      <c r="P741" s="26"/>
      <c r="Q741" s="26"/>
    </row>
    <row r="742">
      <c r="O742" s="25"/>
      <c r="P742" s="26"/>
      <c r="Q742" s="26"/>
    </row>
    <row r="743">
      <c r="O743" s="25"/>
      <c r="P743" s="26"/>
      <c r="Q743" s="26"/>
    </row>
    <row r="744">
      <c r="O744" s="25"/>
      <c r="P744" s="26"/>
      <c r="Q744" s="26"/>
    </row>
    <row r="745">
      <c r="O745" s="25"/>
      <c r="P745" s="26"/>
      <c r="Q745" s="26"/>
    </row>
    <row r="746">
      <c r="O746" s="25"/>
      <c r="P746" s="26"/>
      <c r="Q746" s="26"/>
    </row>
    <row r="747">
      <c r="O747" s="25"/>
      <c r="P747" s="26"/>
      <c r="Q747" s="26"/>
    </row>
    <row r="748">
      <c r="O748" s="25"/>
      <c r="P748" s="26"/>
      <c r="Q748" s="26"/>
    </row>
    <row r="749">
      <c r="O749" s="25"/>
      <c r="P749" s="26"/>
      <c r="Q749" s="26"/>
    </row>
    <row r="750">
      <c r="O750" s="25"/>
      <c r="P750" s="26"/>
      <c r="Q750" s="26"/>
    </row>
    <row r="751">
      <c r="O751" s="25"/>
      <c r="P751" s="26"/>
      <c r="Q751" s="26"/>
    </row>
    <row r="752">
      <c r="O752" s="25"/>
      <c r="P752" s="26"/>
      <c r="Q752" s="26"/>
    </row>
    <row r="753">
      <c r="O753" s="25"/>
      <c r="P753" s="26"/>
      <c r="Q753" s="26"/>
    </row>
    <row r="754">
      <c r="O754" s="25"/>
      <c r="P754" s="26"/>
      <c r="Q754" s="26"/>
    </row>
    <row r="755">
      <c r="O755" s="25"/>
      <c r="P755" s="26"/>
      <c r="Q755" s="26"/>
    </row>
    <row r="756">
      <c r="O756" s="25"/>
      <c r="P756" s="26"/>
      <c r="Q756" s="26"/>
    </row>
    <row r="757">
      <c r="O757" s="25"/>
      <c r="P757" s="26"/>
      <c r="Q757" s="26"/>
    </row>
    <row r="758">
      <c r="O758" s="25"/>
      <c r="P758" s="26"/>
      <c r="Q758" s="26"/>
    </row>
    <row r="759">
      <c r="O759" s="25"/>
      <c r="P759" s="26"/>
      <c r="Q759" s="26"/>
    </row>
    <row r="760">
      <c r="O760" s="25"/>
      <c r="P760" s="26"/>
      <c r="Q760" s="26"/>
    </row>
    <row r="761">
      <c r="O761" s="25"/>
      <c r="P761" s="26"/>
      <c r="Q761" s="26"/>
    </row>
    <row r="762">
      <c r="O762" s="25"/>
      <c r="P762" s="26"/>
      <c r="Q762" s="26"/>
    </row>
    <row r="763">
      <c r="O763" s="25"/>
      <c r="P763" s="26"/>
      <c r="Q763" s="26"/>
    </row>
    <row r="764">
      <c r="O764" s="25"/>
      <c r="P764" s="26"/>
      <c r="Q764" s="26"/>
    </row>
    <row r="765">
      <c r="O765" s="25"/>
      <c r="P765" s="26"/>
      <c r="Q765" s="26"/>
    </row>
    <row r="766">
      <c r="O766" s="25"/>
      <c r="P766" s="26"/>
      <c r="Q766" s="26"/>
    </row>
    <row r="767">
      <c r="O767" s="25"/>
      <c r="P767" s="26"/>
      <c r="Q767" s="26"/>
    </row>
    <row r="768">
      <c r="O768" s="25"/>
      <c r="P768" s="26"/>
      <c r="Q768" s="26"/>
    </row>
    <row r="769">
      <c r="O769" s="25"/>
      <c r="P769" s="26"/>
      <c r="Q769" s="26"/>
    </row>
    <row r="770">
      <c r="O770" s="25"/>
      <c r="P770" s="26"/>
      <c r="Q770" s="26"/>
    </row>
    <row r="771">
      <c r="O771" s="25"/>
      <c r="P771" s="26"/>
      <c r="Q771" s="26"/>
    </row>
    <row r="772">
      <c r="O772" s="25"/>
      <c r="P772" s="26"/>
      <c r="Q772" s="26"/>
    </row>
    <row r="773">
      <c r="O773" s="25"/>
      <c r="P773" s="26"/>
      <c r="Q773" s="26"/>
    </row>
    <row r="774">
      <c r="O774" s="25"/>
      <c r="P774" s="26"/>
      <c r="Q774" s="26"/>
    </row>
    <row r="775">
      <c r="O775" s="25"/>
      <c r="P775" s="26"/>
      <c r="Q775" s="26"/>
    </row>
    <row r="776">
      <c r="O776" s="25"/>
      <c r="P776" s="26"/>
      <c r="Q776" s="26"/>
    </row>
    <row r="777">
      <c r="O777" s="25"/>
      <c r="P777" s="26"/>
      <c r="Q777" s="26"/>
    </row>
    <row r="778">
      <c r="O778" s="25"/>
      <c r="P778" s="26"/>
      <c r="Q778" s="26"/>
    </row>
    <row r="779">
      <c r="O779" s="25"/>
      <c r="P779" s="26"/>
      <c r="Q779" s="26"/>
    </row>
    <row r="780">
      <c r="O780" s="25"/>
      <c r="P780" s="26"/>
      <c r="Q780" s="26"/>
    </row>
    <row r="781">
      <c r="O781" s="25"/>
      <c r="P781" s="26"/>
      <c r="Q781" s="26"/>
    </row>
    <row r="782">
      <c r="O782" s="25"/>
      <c r="P782" s="26"/>
      <c r="Q782" s="26"/>
    </row>
    <row r="783">
      <c r="O783" s="25"/>
      <c r="P783" s="26"/>
      <c r="Q783" s="26"/>
    </row>
    <row r="784">
      <c r="O784" s="25"/>
      <c r="P784" s="26"/>
      <c r="Q784" s="26"/>
    </row>
    <row r="785">
      <c r="O785" s="25"/>
      <c r="P785" s="26"/>
      <c r="Q785" s="26"/>
    </row>
    <row r="786">
      <c r="O786" s="25"/>
      <c r="P786" s="26"/>
      <c r="Q786" s="26"/>
    </row>
    <row r="787">
      <c r="O787" s="25"/>
      <c r="P787" s="26"/>
      <c r="Q787" s="26"/>
    </row>
    <row r="788">
      <c r="O788" s="25"/>
      <c r="P788" s="26"/>
      <c r="Q788" s="26"/>
    </row>
    <row r="789">
      <c r="O789" s="25"/>
      <c r="P789" s="26"/>
      <c r="Q789" s="26"/>
    </row>
    <row r="790">
      <c r="O790" s="25"/>
      <c r="P790" s="26"/>
      <c r="Q790" s="26"/>
    </row>
    <row r="791">
      <c r="O791" s="25"/>
      <c r="P791" s="26"/>
      <c r="Q791" s="26"/>
    </row>
    <row r="792">
      <c r="O792" s="25"/>
      <c r="P792" s="26"/>
      <c r="Q792" s="26"/>
    </row>
    <row r="793">
      <c r="O793" s="25"/>
      <c r="P793" s="26"/>
      <c r="Q793" s="26"/>
    </row>
    <row r="794">
      <c r="O794" s="25"/>
      <c r="P794" s="26"/>
      <c r="Q794" s="26"/>
    </row>
    <row r="795">
      <c r="O795" s="25"/>
      <c r="P795" s="26"/>
      <c r="Q795" s="26"/>
    </row>
    <row r="796">
      <c r="O796" s="25"/>
      <c r="P796" s="26"/>
      <c r="Q796" s="26"/>
    </row>
    <row r="797">
      <c r="O797" s="25"/>
      <c r="P797" s="26"/>
      <c r="Q797" s="26"/>
    </row>
    <row r="798">
      <c r="O798" s="25"/>
      <c r="P798" s="26"/>
      <c r="Q798" s="26"/>
    </row>
    <row r="799">
      <c r="O799" s="25"/>
      <c r="P799" s="26"/>
      <c r="Q799" s="26"/>
    </row>
    <row r="800">
      <c r="O800" s="25"/>
      <c r="P800" s="26"/>
      <c r="Q800" s="26"/>
    </row>
    <row r="801">
      <c r="O801" s="25"/>
      <c r="P801" s="26"/>
      <c r="Q801" s="26"/>
    </row>
    <row r="802">
      <c r="O802" s="25"/>
      <c r="P802" s="26"/>
      <c r="Q802" s="26"/>
    </row>
    <row r="803">
      <c r="O803" s="25"/>
      <c r="P803" s="26"/>
      <c r="Q803" s="26"/>
    </row>
    <row r="804">
      <c r="O804" s="25"/>
      <c r="P804" s="26"/>
      <c r="Q804" s="26"/>
    </row>
    <row r="805">
      <c r="O805" s="25"/>
      <c r="P805" s="26"/>
      <c r="Q805" s="26"/>
    </row>
    <row r="806">
      <c r="O806" s="25"/>
      <c r="P806" s="26"/>
      <c r="Q806" s="26"/>
    </row>
    <row r="807">
      <c r="O807" s="25"/>
      <c r="P807" s="26"/>
      <c r="Q807" s="26"/>
    </row>
    <row r="808">
      <c r="O808" s="25"/>
      <c r="P808" s="26"/>
      <c r="Q808" s="26"/>
    </row>
    <row r="809">
      <c r="O809" s="25"/>
      <c r="P809" s="26"/>
      <c r="Q809" s="26"/>
    </row>
    <row r="810">
      <c r="O810" s="25"/>
      <c r="P810" s="26"/>
      <c r="Q810" s="26"/>
    </row>
    <row r="811">
      <c r="O811" s="25"/>
      <c r="P811" s="26"/>
      <c r="Q811" s="26"/>
    </row>
    <row r="812">
      <c r="O812" s="25"/>
      <c r="P812" s="26"/>
      <c r="Q812" s="26"/>
    </row>
    <row r="813">
      <c r="O813" s="25"/>
      <c r="P813" s="26"/>
      <c r="Q813" s="26"/>
    </row>
    <row r="814">
      <c r="O814" s="25"/>
      <c r="P814" s="26"/>
      <c r="Q814" s="26"/>
    </row>
    <row r="815">
      <c r="O815" s="25"/>
      <c r="P815" s="26"/>
      <c r="Q815" s="26"/>
    </row>
    <row r="816">
      <c r="O816" s="25"/>
      <c r="P816" s="26"/>
      <c r="Q816" s="26"/>
    </row>
    <row r="817">
      <c r="O817" s="25"/>
      <c r="P817" s="26"/>
      <c r="Q817" s="26"/>
    </row>
    <row r="818">
      <c r="O818" s="25"/>
      <c r="P818" s="26"/>
      <c r="Q818" s="26"/>
    </row>
    <row r="819">
      <c r="O819" s="25"/>
      <c r="P819" s="26"/>
      <c r="Q819" s="26"/>
    </row>
    <row r="820">
      <c r="O820" s="25"/>
      <c r="P820" s="26"/>
      <c r="Q820" s="26"/>
    </row>
    <row r="821">
      <c r="O821" s="25"/>
      <c r="P821" s="26"/>
      <c r="Q821" s="26"/>
    </row>
    <row r="822">
      <c r="O822" s="25"/>
      <c r="P822" s="26"/>
      <c r="Q822" s="26"/>
    </row>
    <row r="823">
      <c r="O823" s="25"/>
      <c r="P823" s="26"/>
      <c r="Q823" s="26"/>
    </row>
    <row r="824">
      <c r="O824" s="25"/>
      <c r="P824" s="26"/>
      <c r="Q824" s="26"/>
    </row>
    <row r="825">
      <c r="O825" s="25"/>
      <c r="P825" s="26"/>
      <c r="Q825" s="26"/>
    </row>
    <row r="826">
      <c r="O826" s="25"/>
      <c r="P826" s="26"/>
      <c r="Q826" s="26"/>
    </row>
    <row r="827">
      <c r="O827" s="25"/>
      <c r="P827" s="26"/>
      <c r="Q827" s="26"/>
    </row>
    <row r="828">
      <c r="O828" s="25"/>
      <c r="P828" s="26"/>
      <c r="Q828" s="26"/>
    </row>
    <row r="829">
      <c r="O829" s="25"/>
      <c r="P829" s="26"/>
      <c r="Q829" s="26"/>
    </row>
    <row r="830">
      <c r="O830" s="25"/>
      <c r="P830" s="26"/>
      <c r="Q830" s="26"/>
    </row>
    <row r="831">
      <c r="O831" s="25"/>
      <c r="P831" s="26"/>
      <c r="Q831" s="26"/>
    </row>
    <row r="832">
      <c r="O832" s="25"/>
      <c r="P832" s="26"/>
      <c r="Q832" s="26"/>
    </row>
    <row r="833">
      <c r="O833" s="25"/>
      <c r="P833" s="26"/>
      <c r="Q833" s="26"/>
    </row>
    <row r="834">
      <c r="O834" s="25"/>
      <c r="P834" s="26"/>
      <c r="Q834" s="26"/>
    </row>
    <row r="835">
      <c r="O835" s="25"/>
      <c r="P835" s="26"/>
      <c r="Q835" s="26"/>
    </row>
    <row r="836">
      <c r="O836" s="25"/>
      <c r="P836" s="26"/>
      <c r="Q836" s="26"/>
    </row>
    <row r="837">
      <c r="O837" s="25"/>
      <c r="P837" s="26"/>
      <c r="Q837" s="26"/>
    </row>
    <row r="838">
      <c r="O838" s="25"/>
      <c r="P838" s="26"/>
      <c r="Q838" s="26"/>
    </row>
    <row r="839">
      <c r="O839" s="25"/>
      <c r="P839" s="26"/>
      <c r="Q839" s="26"/>
    </row>
    <row r="840">
      <c r="O840" s="25"/>
      <c r="P840" s="26"/>
      <c r="Q840" s="26"/>
    </row>
    <row r="841">
      <c r="O841" s="25"/>
      <c r="P841" s="26"/>
      <c r="Q841" s="26"/>
    </row>
    <row r="842">
      <c r="O842" s="25"/>
      <c r="P842" s="26"/>
      <c r="Q842" s="26"/>
    </row>
    <row r="843">
      <c r="O843" s="25"/>
      <c r="P843" s="26"/>
      <c r="Q843" s="26"/>
    </row>
    <row r="844">
      <c r="O844" s="25"/>
      <c r="P844" s="26"/>
      <c r="Q844" s="26"/>
    </row>
    <row r="845">
      <c r="O845" s="25"/>
      <c r="P845" s="26"/>
      <c r="Q845" s="26"/>
    </row>
    <row r="846">
      <c r="O846" s="25"/>
      <c r="P846" s="26"/>
      <c r="Q846" s="26"/>
    </row>
    <row r="847">
      <c r="O847" s="25"/>
      <c r="P847" s="26"/>
      <c r="Q847" s="26"/>
    </row>
    <row r="848">
      <c r="O848" s="25"/>
      <c r="P848" s="26"/>
      <c r="Q848" s="26"/>
    </row>
    <row r="849">
      <c r="O849" s="25"/>
      <c r="P849" s="26"/>
      <c r="Q849" s="26"/>
    </row>
    <row r="850">
      <c r="O850" s="25"/>
      <c r="P850" s="26"/>
      <c r="Q850" s="26"/>
    </row>
    <row r="851">
      <c r="O851" s="25"/>
      <c r="P851" s="26"/>
      <c r="Q851" s="26"/>
    </row>
    <row r="852">
      <c r="O852" s="25"/>
      <c r="P852" s="26"/>
      <c r="Q852" s="26"/>
    </row>
    <row r="853">
      <c r="O853" s="25"/>
      <c r="P853" s="26"/>
      <c r="Q853" s="26"/>
    </row>
    <row r="854">
      <c r="O854" s="25"/>
      <c r="P854" s="26"/>
      <c r="Q854" s="26"/>
    </row>
    <row r="855">
      <c r="O855" s="25"/>
      <c r="P855" s="26"/>
      <c r="Q855" s="26"/>
    </row>
    <row r="856">
      <c r="O856" s="25"/>
      <c r="P856" s="26"/>
      <c r="Q856" s="26"/>
    </row>
    <row r="857">
      <c r="O857" s="25"/>
      <c r="P857" s="26"/>
      <c r="Q857" s="26"/>
    </row>
    <row r="858">
      <c r="O858" s="25"/>
      <c r="P858" s="26"/>
      <c r="Q858" s="26"/>
    </row>
    <row r="859">
      <c r="O859" s="25"/>
      <c r="P859" s="26"/>
      <c r="Q859" s="26"/>
    </row>
    <row r="860">
      <c r="O860" s="25"/>
      <c r="P860" s="26"/>
      <c r="Q860" s="26"/>
    </row>
    <row r="861">
      <c r="O861" s="25"/>
      <c r="P861" s="26"/>
      <c r="Q861" s="26"/>
    </row>
    <row r="862">
      <c r="O862" s="25"/>
      <c r="P862" s="26"/>
      <c r="Q862" s="26"/>
    </row>
    <row r="863">
      <c r="O863" s="25"/>
      <c r="P863" s="26"/>
      <c r="Q863" s="26"/>
    </row>
    <row r="864">
      <c r="O864" s="25"/>
      <c r="P864" s="26"/>
      <c r="Q864" s="26"/>
    </row>
    <row r="865">
      <c r="O865" s="25"/>
      <c r="P865" s="26"/>
      <c r="Q865" s="26"/>
    </row>
    <row r="866">
      <c r="O866" s="25"/>
      <c r="P866" s="26"/>
      <c r="Q866" s="26"/>
    </row>
    <row r="867">
      <c r="O867" s="25"/>
      <c r="P867" s="26"/>
      <c r="Q867" s="26"/>
    </row>
    <row r="868">
      <c r="O868" s="25"/>
      <c r="P868" s="26"/>
      <c r="Q868" s="26"/>
    </row>
    <row r="869">
      <c r="O869" s="25"/>
      <c r="P869" s="26"/>
      <c r="Q869" s="26"/>
    </row>
    <row r="870">
      <c r="O870" s="25"/>
      <c r="P870" s="26"/>
      <c r="Q870" s="26"/>
    </row>
    <row r="871">
      <c r="O871" s="25"/>
      <c r="P871" s="26"/>
      <c r="Q871" s="26"/>
    </row>
    <row r="872">
      <c r="O872" s="25"/>
      <c r="P872" s="26"/>
      <c r="Q872" s="26"/>
    </row>
    <row r="873">
      <c r="O873" s="25"/>
      <c r="P873" s="26"/>
      <c r="Q873" s="26"/>
    </row>
    <row r="874">
      <c r="O874" s="25"/>
      <c r="P874" s="26"/>
      <c r="Q874" s="26"/>
    </row>
    <row r="875">
      <c r="O875" s="25"/>
      <c r="P875" s="26"/>
      <c r="Q875" s="26"/>
    </row>
    <row r="876">
      <c r="O876" s="25"/>
      <c r="P876" s="26"/>
      <c r="Q876" s="26"/>
    </row>
    <row r="877">
      <c r="O877" s="25"/>
      <c r="P877" s="26"/>
      <c r="Q877" s="26"/>
    </row>
    <row r="878">
      <c r="O878" s="25"/>
      <c r="P878" s="26"/>
      <c r="Q878" s="26"/>
    </row>
    <row r="879">
      <c r="O879" s="25"/>
      <c r="P879" s="26"/>
      <c r="Q879" s="26"/>
    </row>
    <row r="880">
      <c r="O880" s="25"/>
      <c r="P880" s="26"/>
      <c r="Q880" s="26"/>
    </row>
    <row r="881">
      <c r="O881" s="25"/>
      <c r="P881" s="26"/>
      <c r="Q881" s="26"/>
    </row>
    <row r="882">
      <c r="O882" s="25"/>
      <c r="P882" s="26"/>
      <c r="Q882" s="26"/>
    </row>
    <row r="883">
      <c r="O883" s="25"/>
      <c r="P883" s="26"/>
      <c r="Q883" s="26"/>
    </row>
    <row r="884">
      <c r="O884" s="25"/>
      <c r="P884" s="26"/>
      <c r="Q884" s="26"/>
    </row>
    <row r="885">
      <c r="O885" s="25"/>
      <c r="P885" s="26"/>
      <c r="Q885" s="26"/>
    </row>
    <row r="886">
      <c r="O886" s="25"/>
      <c r="P886" s="26"/>
      <c r="Q886" s="26"/>
    </row>
    <row r="887">
      <c r="O887" s="25"/>
      <c r="P887" s="26"/>
      <c r="Q887" s="26"/>
    </row>
    <row r="888">
      <c r="O888" s="25"/>
      <c r="P888" s="26"/>
      <c r="Q888" s="26"/>
    </row>
    <row r="889">
      <c r="O889" s="25"/>
      <c r="P889" s="26"/>
      <c r="Q889" s="26"/>
    </row>
    <row r="890">
      <c r="O890" s="25"/>
      <c r="P890" s="26"/>
      <c r="Q890" s="26"/>
    </row>
    <row r="891">
      <c r="O891" s="25"/>
      <c r="P891" s="26"/>
      <c r="Q891" s="26"/>
    </row>
    <row r="892">
      <c r="O892" s="25"/>
      <c r="P892" s="26"/>
      <c r="Q892" s="26"/>
    </row>
    <row r="893">
      <c r="O893" s="25"/>
      <c r="P893" s="26"/>
      <c r="Q893" s="26"/>
    </row>
    <row r="894">
      <c r="O894" s="25"/>
      <c r="P894" s="26"/>
      <c r="Q894" s="26"/>
    </row>
    <row r="895">
      <c r="O895" s="25"/>
      <c r="P895" s="26"/>
      <c r="Q895" s="26"/>
    </row>
    <row r="896">
      <c r="O896" s="25"/>
      <c r="P896" s="26"/>
      <c r="Q896" s="26"/>
    </row>
    <row r="897">
      <c r="O897" s="25"/>
      <c r="P897" s="26"/>
      <c r="Q897" s="26"/>
    </row>
    <row r="898">
      <c r="O898" s="25"/>
      <c r="P898" s="26"/>
      <c r="Q898" s="26"/>
    </row>
    <row r="899">
      <c r="O899" s="25"/>
      <c r="P899" s="26"/>
      <c r="Q899" s="26"/>
    </row>
    <row r="900">
      <c r="O900" s="25"/>
      <c r="P900" s="26"/>
      <c r="Q900" s="26"/>
    </row>
    <row r="901">
      <c r="O901" s="25"/>
      <c r="P901" s="26"/>
      <c r="Q901" s="26"/>
    </row>
    <row r="902">
      <c r="O902" s="25"/>
      <c r="P902" s="26"/>
      <c r="Q902" s="26"/>
    </row>
    <row r="903">
      <c r="O903" s="25"/>
      <c r="P903" s="26"/>
      <c r="Q903" s="26"/>
    </row>
    <row r="904">
      <c r="O904" s="25"/>
      <c r="P904" s="26"/>
      <c r="Q904" s="26"/>
    </row>
    <row r="905">
      <c r="O905" s="25"/>
      <c r="P905" s="26"/>
      <c r="Q905" s="26"/>
    </row>
    <row r="906">
      <c r="O906" s="25"/>
      <c r="P906" s="26"/>
      <c r="Q906" s="26"/>
    </row>
    <row r="907">
      <c r="O907" s="25"/>
      <c r="P907" s="26"/>
      <c r="Q907" s="26"/>
    </row>
    <row r="908">
      <c r="O908" s="25"/>
      <c r="P908" s="26"/>
      <c r="Q908" s="26"/>
    </row>
    <row r="909">
      <c r="O909" s="25"/>
      <c r="P909" s="26"/>
      <c r="Q909" s="26"/>
    </row>
    <row r="910">
      <c r="O910" s="25"/>
      <c r="P910" s="26"/>
      <c r="Q910" s="26"/>
    </row>
    <row r="911">
      <c r="O911" s="25"/>
      <c r="P911" s="26"/>
      <c r="Q911" s="26"/>
    </row>
    <row r="912">
      <c r="O912" s="25"/>
      <c r="P912" s="26"/>
      <c r="Q912" s="26"/>
    </row>
    <row r="913">
      <c r="O913" s="25"/>
      <c r="P913" s="26"/>
      <c r="Q913" s="26"/>
    </row>
    <row r="914">
      <c r="O914" s="25"/>
      <c r="P914" s="26"/>
      <c r="Q914" s="26"/>
    </row>
    <row r="915">
      <c r="O915" s="25"/>
      <c r="P915" s="26"/>
      <c r="Q915" s="26"/>
    </row>
    <row r="916">
      <c r="O916" s="25"/>
      <c r="P916" s="26"/>
      <c r="Q916" s="26"/>
    </row>
    <row r="917">
      <c r="O917" s="25"/>
      <c r="P917" s="26"/>
      <c r="Q917" s="26"/>
    </row>
    <row r="918">
      <c r="O918" s="25"/>
      <c r="P918" s="26"/>
      <c r="Q918" s="26"/>
    </row>
    <row r="919">
      <c r="O919" s="25"/>
      <c r="P919" s="26"/>
      <c r="Q919" s="26"/>
    </row>
    <row r="920">
      <c r="O920" s="25"/>
      <c r="P920" s="26"/>
      <c r="Q920" s="26"/>
    </row>
    <row r="921">
      <c r="O921" s="25"/>
      <c r="P921" s="26"/>
      <c r="Q921" s="26"/>
    </row>
    <row r="922">
      <c r="O922" s="25"/>
      <c r="P922" s="26"/>
      <c r="Q922" s="26"/>
    </row>
    <row r="923">
      <c r="O923" s="25"/>
      <c r="P923" s="26"/>
      <c r="Q923" s="26"/>
    </row>
    <row r="924">
      <c r="O924" s="25"/>
      <c r="P924" s="26"/>
      <c r="Q924" s="26"/>
    </row>
    <row r="925">
      <c r="O925" s="25"/>
      <c r="P925" s="26"/>
      <c r="Q925" s="26"/>
    </row>
    <row r="926">
      <c r="O926" s="25"/>
      <c r="P926" s="26"/>
      <c r="Q926" s="26"/>
    </row>
    <row r="927">
      <c r="O927" s="25"/>
      <c r="P927" s="26"/>
      <c r="Q927" s="26"/>
    </row>
    <row r="928">
      <c r="O928" s="25"/>
      <c r="P928" s="26"/>
      <c r="Q928" s="26"/>
    </row>
    <row r="929">
      <c r="O929" s="25"/>
      <c r="P929" s="26"/>
      <c r="Q929" s="26"/>
    </row>
    <row r="930">
      <c r="O930" s="25"/>
      <c r="P930" s="26"/>
      <c r="Q930" s="26"/>
    </row>
    <row r="931">
      <c r="O931" s="25"/>
      <c r="P931" s="26"/>
      <c r="Q931" s="26"/>
    </row>
    <row r="932">
      <c r="O932" s="25"/>
      <c r="P932" s="26"/>
      <c r="Q932" s="26"/>
    </row>
    <row r="933">
      <c r="O933" s="25"/>
      <c r="P933" s="26"/>
      <c r="Q933" s="26"/>
    </row>
    <row r="934">
      <c r="O934" s="25"/>
      <c r="P934" s="26"/>
      <c r="Q934" s="26"/>
    </row>
    <row r="935">
      <c r="O935" s="25"/>
      <c r="P935" s="26"/>
      <c r="Q935" s="26"/>
    </row>
    <row r="936">
      <c r="O936" s="25"/>
      <c r="P936" s="26"/>
      <c r="Q936" s="26"/>
    </row>
    <row r="937">
      <c r="O937" s="25"/>
      <c r="P937" s="26"/>
      <c r="Q937" s="26"/>
    </row>
    <row r="938">
      <c r="O938" s="25"/>
      <c r="P938" s="26"/>
      <c r="Q938" s="26"/>
    </row>
    <row r="939">
      <c r="O939" s="25"/>
      <c r="P939" s="26"/>
      <c r="Q939" s="26"/>
    </row>
    <row r="940">
      <c r="O940" s="25"/>
      <c r="P940" s="26"/>
      <c r="Q940" s="26"/>
    </row>
    <row r="941">
      <c r="O941" s="25"/>
      <c r="P941" s="26"/>
      <c r="Q941" s="26"/>
    </row>
    <row r="942">
      <c r="O942" s="25"/>
      <c r="P942" s="26"/>
      <c r="Q942" s="26"/>
    </row>
    <row r="943">
      <c r="O943" s="25"/>
      <c r="P943" s="26"/>
      <c r="Q943" s="26"/>
    </row>
    <row r="944">
      <c r="O944" s="25"/>
      <c r="P944" s="26"/>
      <c r="Q944" s="26"/>
    </row>
    <row r="945">
      <c r="O945" s="25"/>
      <c r="P945" s="26"/>
      <c r="Q945" s="26"/>
    </row>
    <row r="946">
      <c r="O946" s="25"/>
      <c r="P946" s="26"/>
      <c r="Q946" s="26"/>
    </row>
    <row r="947">
      <c r="O947" s="25"/>
      <c r="P947" s="26"/>
      <c r="Q947" s="26"/>
    </row>
    <row r="948">
      <c r="O948" s="25"/>
      <c r="P948" s="26"/>
      <c r="Q948" s="26"/>
    </row>
    <row r="949">
      <c r="O949" s="25"/>
      <c r="P949" s="26"/>
      <c r="Q949" s="26"/>
    </row>
    <row r="950">
      <c r="O950" s="25"/>
      <c r="P950" s="26"/>
      <c r="Q950" s="26"/>
    </row>
    <row r="951">
      <c r="O951" s="25"/>
      <c r="P951" s="26"/>
      <c r="Q951" s="26"/>
    </row>
    <row r="952">
      <c r="O952" s="25"/>
      <c r="P952" s="26"/>
      <c r="Q952" s="26"/>
    </row>
    <row r="953">
      <c r="O953" s="25"/>
      <c r="P953" s="26"/>
      <c r="Q953" s="26"/>
    </row>
    <row r="954">
      <c r="O954" s="25"/>
      <c r="P954" s="26"/>
      <c r="Q954" s="26"/>
    </row>
    <row r="955">
      <c r="O955" s="25"/>
      <c r="P955" s="26"/>
      <c r="Q955" s="26"/>
    </row>
    <row r="956">
      <c r="O956" s="25"/>
      <c r="P956" s="26"/>
      <c r="Q956" s="26"/>
    </row>
    <row r="957">
      <c r="O957" s="25"/>
      <c r="P957" s="26"/>
      <c r="Q957" s="26"/>
    </row>
    <row r="958">
      <c r="O958" s="25"/>
      <c r="P958" s="26"/>
      <c r="Q958" s="26"/>
    </row>
    <row r="959">
      <c r="O959" s="25"/>
      <c r="P959" s="26"/>
      <c r="Q959" s="26"/>
    </row>
    <row r="960">
      <c r="O960" s="25"/>
      <c r="P960" s="26"/>
      <c r="Q960" s="26"/>
    </row>
    <row r="961">
      <c r="O961" s="25"/>
      <c r="P961" s="26"/>
      <c r="Q961" s="26"/>
    </row>
    <row r="962">
      <c r="O962" s="25"/>
      <c r="P962" s="26"/>
      <c r="Q962" s="26"/>
    </row>
    <row r="963">
      <c r="O963" s="25"/>
      <c r="P963" s="26"/>
      <c r="Q963" s="26"/>
    </row>
    <row r="964">
      <c r="O964" s="25"/>
      <c r="P964" s="26"/>
      <c r="Q964" s="26"/>
    </row>
    <row r="965">
      <c r="O965" s="25"/>
      <c r="P965" s="26"/>
      <c r="Q965" s="26"/>
    </row>
    <row r="966">
      <c r="O966" s="25"/>
      <c r="P966" s="26"/>
      <c r="Q966" s="26"/>
    </row>
    <row r="967">
      <c r="O967" s="25"/>
      <c r="P967" s="26"/>
      <c r="Q967" s="26"/>
    </row>
    <row r="968">
      <c r="O968" s="25"/>
      <c r="P968" s="26"/>
      <c r="Q968" s="26"/>
    </row>
    <row r="969">
      <c r="O969" s="25"/>
      <c r="P969" s="26"/>
      <c r="Q969" s="26"/>
    </row>
    <row r="970">
      <c r="O970" s="25"/>
      <c r="P970" s="26"/>
      <c r="Q970" s="26"/>
    </row>
    <row r="971">
      <c r="O971" s="25"/>
      <c r="P971" s="26"/>
      <c r="Q971" s="26"/>
    </row>
    <row r="972">
      <c r="O972" s="25"/>
      <c r="P972" s="26"/>
      <c r="Q972" s="26"/>
    </row>
    <row r="973">
      <c r="O973" s="25"/>
      <c r="P973" s="26"/>
      <c r="Q973" s="26"/>
    </row>
    <row r="974">
      <c r="O974" s="25"/>
      <c r="P974" s="26"/>
      <c r="Q974" s="26"/>
    </row>
    <row r="975">
      <c r="O975" s="25"/>
      <c r="P975" s="26"/>
      <c r="Q975" s="26"/>
    </row>
    <row r="976">
      <c r="O976" s="25"/>
      <c r="P976" s="26"/>
      <c r="Q976" s="26"/>
    </row>
    <row r="977">
      <c r="O977" s="25"/>
      <c r="P977" s="26"/>
      <c r="Q977" s="26"/>
    </row>
    <row r="978">
      <c r="O978" s="25"/>
      <c r="P978" s="26"/>
      <c r="Q978" s="26"/>
    </row>
    <row r="979">
      <c r="O979" s="25"/>
      <c r="P979" s="26"/>
      <c r="Q979" s="26"/>
    </row>
    <row r="980">
      <c r="O980" s="25"/>
      <c r="P980" s="26"/>
      <c r="Q980" s="26"/>
    </row>
    <row r="981">
      <c r="O981" s="25"/>
      <c r="P981" s="26"/>
      <c r="Q981" s="26"/>
    </row>
    <row r="982">
      <c r="O982" s="25"/>
      <c r="P982" s="26"/>
      <c r="Q982" s="26"/>
    </row>
    <row r="983">
      <c r="O983" s="25"/>
      <c r="P983" s="26"/>
      <c r="Q983" s="26"/>
    </row>
    <row r="984">
      <c r="O984" s="25"/>
      <c r="P984" s="26"/>
      <c r="Q984" s="26"/>
    </row>
    <row r="985">
      <c r="O985" s="25"/>
      <c r="P985" s="26"/>
      <c r="Q985" s="26"/>
    </row>
    <row r="986">
      <c r="O986" s="25"/>
      <c r="P986" s="26"/>
      <c r="Q986" s="26"/>
    </row>
    <row r="987">
      <c r="O987" s="25"/>
      <c r="P987" s="26"/>
      <c r="Q987" s="26"/>
    </row>
    <row r="988">
      <c r="O988" s="25"/>
      <c r="P988" s="26"/>
      <c r="Q988" s="26"/>
    </row>
    <row r="989">
      <c r="O989" s="25"/>
      <c r="P989" s="26"/>
      <c r="Q989" s="26"/>
    </row>
    <row r="990">
      <c r="O990" s="25"/>
      <c r="P990" s="26"/>
      <c r="Q990" s="26"/>
    </row>
    <row r="991">
      <c r="O991" s="25"/>
      <c r="P991" s="26"/>
      <c r="Q991" s="26"/>
    </row>
    <row r="992">
      <c r="O992" s="25"/>
      <c r="P992" s="26"/>
      <c r="Q992" s="26"/>
    </row>
    <row r="993">
      <c r="O993" s="25"/>
      <c r="P993" s="26"/>
      <c r="Q993" s="26"/>
    </row>
    <row r="994">
      <c r="O994" s="25"/>
      <c r="P994" s="26"/>
      <c r="Q994" s="26"/>
    </row>
    <row r="995">
      <c r="O995" s="25"/>
      <c r="P995" s="26"/>
      <c r="Q995" s="26"/>
    </row>
    <row r="996">
      <c r="O996" s="25"/>
      <c r="P996" s="26"/>
      <c r="Q996" s="26"/>
    </row>
    <row r="997">
      <c r="O997" s="25"/>
      <c r="P997" s="26"/>
      <c r="Q997" s="26"/>
    </row>
    <row r="998">
      <c r="O998" s="25"/>
      <c r="P998" s="26"/>
      <c r="Q998" s="26"/>
    </row>
    <row r="999">
      <c r="O999" s="25"/>
      <c r="P999" s="26"/>
      <c r="Q999" s="26"/>
    </row>
  </sheetData>
  <mergeCells count="9">
    <mergeCell ref="R11:S11"/>
    <mergeCell ref="B24:N24"/>
    <mergeCell ref="C2:E2"/>
    <mergeCell ref="F2:H2"/>
    <mergeCell ref="I2:K2"/>
    <mergeCell ref="L2:N2"/>
    <mergeCell ref="R2:S2"/>
    <mergeCell ref="R5:S5"/>
    <mergeCell ref="R8:S8"/>
  </mergeCells>
  <conditionalFormatting sqref="C49:N53">
    <cfRule type="cellIs" dxfId="0" priority="1" operator="greaterThan">
      <formula>1</formula>
    </cfRule>
  </conditionalFormatting>
  <conditionalFormatting sqref="C49:N53">
    <cfRule type="cellIs" dxfId="1" priority="2" operator="lessThan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7.13"/>
  </cols>
  <sheetData>
    <row r="1" ht="11.25" customHeight="1"/>
    <row r="2">
      <c r="B2" s="48" t="s">
        <v>140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>
      <c r="B3" s="30" t="s">
        <v>76</v>
      </c>
      <c r="C3" s="29" t="s">
        <v>77</v>
      </c>
      <c r="D3" s="7"/>
      <c r="E3" s="8"/>
      <c r="F3" s="29" t="s">
        <v>78</v>
      </c>
      <c r="G3" s="7"/>
      <c r="H3" s="8"/>
      <c r="I3" s="29" t="s">
        <v>79</v>
      </c>
      <c r="J3" s="7"/>
      <c r="K3" s="8"/>
      <c r="L3" s="29" t="s">
        <v>80</v>
      </c>
      <c r="M3" s="7"/>
      <c r="N3" s="8"/>
    </row>
    <row r="4">
      <c r="B4" s="30" t="s">
        <v>141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85</v>
      </c>
      <c r="H4" s="13" t="s">
        <v>86</v>
      </c>
      <c r="I4" s="13" t="s">
        <v>87</v>
      </c>
      <c r="J4" s="13" t="s">
        <v>88</v>
      </c>
      <c r="K4" s="13" t="s">
        <v>89</v>
      </c>
      <c r="L4" s="13" t="s">
        <v>90</v>
      </c>
      <c r="M4" s="13" t="s">
        <v>91</v>
      </c>
      <c r="N4" s="13" t="s">
        <v>92</v>
      </c>
    </row>
    <row r="5">
      <c r="B5" s="12" t="s">
        <v>142</v>
      </c>
      <c r="C5" s="45">
        <f t="shared" ref="C5:N5" si="1">count(C20:C22)+count(C28:C37)</f>
        <v>12</v>
      </c>
      <c r="D5" s="45">
        <f t="shared" si="1"/>
        <v>12</v>
      </c>
      <c r="E5" s="45">
        <f t="shared" si="1"/>
        <v>12</v>
      </c>
      <c r="F5" s="45">
        <f t="shared" si="1"/>
        <v>11</v>
      </c>
      <c r="G5" s="45">
        <f t="shared" si="1"/>
        <v>11</v>
      </c>
      <c r="H5" s="45">
        <f t="shared" si="1"/>
        <v>12</v>
      </c>
      <c r="I5" s="45">
        <f t="shared" si="1"/>
        <v>12</v>
      </c>
      <c r="J5" s="45">
        <f t="shared" si="1"/>
        <v>12</v>
      </c>
      <c r="K5" s="45">
        <f t="shared" si="1"/>
        <v>12</v>
      </c>
      <c r="L5" s="45">
        <f t="shared" si="1"/>
        <v>12</v>
      </c>
      <c r="M5" s="45">
        <f t="shared" si="1"/>
        <v>12</v>
      </c>
      <c r="N5" s="45">
        <f t="shared" si="1"/>
        <v>12</v>
      </c>
    </row>
    <row r="6">
      <c r="B6" s="12" t="s">
        <v>143</v>
      </c>
      <c r="C6" s="49">
        <f t="shared" ref="C6:N6" si="2">SUM(C7:C14)</f>
        <v>298446</v>
      </c>
      <c r="D6" s="49">
        <f t="shared" si="2"/>
        <v>292038</v>
      </c>
      <c r="E6" s="49">
        <f t="shared" si="2"/>
        <v>294283</v>
      </c>
      <c r="F6" s="49">
        <f t="shared" si="2"/>
        <v>292041</v>
      </c>
      <c r="G6" s="49">
        <f t="shared" si="2"/>
        <v>294837</v>
      </c>
      <c r="H6" s="49">
        <f t="shared" si="2"/>
        <v>299735</v>
      </c>
      <c r="I6" s="49">
        <f t="shared" si="2"/>
        <v>317499</v>
      </c>
      <c r="J6" s="49">
        <f t="shared" si="2"/>
        <v>304744</v>
      </c>
      <c r="K6" s="49">
        <f t="shared" si="2"/>
        <v>306091</v>
      </c>
      <c r="L6" s="49">
        <f t="shared" si="2"/>
        <v>330004</v>
      </c>
      <c r="M6" s="49">
        <f t="shared" si="2"/>
        <v>341651</v>
      </c>
      <c r="N6" s="49">
        <f t="shared" si="2"/>
        <v>363847</v>
      </c>
    </row>
    <row r="7">
      <c r="B7" s="30" t="s">
        <v>144</v>
      </c>
      <c r="C7" s="35">
        <f t="shared" ref="C7:N7" si="3">C19</f>
        <v>80000</v>
      </c>
      <c r="D7" s="35">
        <f t="shared" si="3"/>
        <v>80000</v>
      </c>
      <c r="E7" s="35">
        <f t="shared" si="3"/>
        <v>80000</v>
      </c>
      <c r="F7" s="35">
        <f t="shared" si="3"/>
        <v>80000</v>
      </c>
      <c r="G7" s="35">
        <f t="shared" si="3"/>
        <v>80000</v>
      </c>
      <c r="H7" s="35">
        <f t="shared" si="3"/>
        <v>80000</v>
      </c>
      <c r="I7" s="35">
        <f t="shared" si="3"/>
        <v>80000</v>
      </c>
      <c r="J7" s="35">
        <f t="shared" si="3"/>
        <v>80000</v>
      </c>
      <c r="K7" s="35">
        <f t="shared" si="3"/>
        <v>80000</v>
      </c>
      <c r="L7" s="35">
        <f t="shared" si="3"/>
        <v>80000</v>
      </c>
      <c r="M7" s="35">
        <f t="shared" si="3"/>
        <v>80000</v>
      </c>
      <c r="N7" s="35">
        <f t="shared" si="3"/>
        <v>80000</v>
      </c>
    </row>
    <row r="8">
      <c r="B8" s="30" t="s">
        <v>145</v>
      </c>
      <c r="C8" s="35">
        <f t="shared" ref="C8:N8" si="4">C27</f>
        <v>50000</v>
      </c>
      <c r="D8" s="35">
        <f t="shared" si="4"/>
        <v>46000</v>
      </c>
      <c r="E8" s="35">
        <f t="shared" si="4"/>
        <v>46000</v>
      </c>
      <c r="F8" s="35">
        <f t="shared" si="4"/>
        <v>46000</v>
      </c>
      <c r="G8" s="35">
        <f t="shared" si="4"/>
        <v>47000</v>
      </c>
      <c r="H8" s="35">
        <f t="shared" si="4"/>
        <v>51000</v>
      </c>
      <c r="I8" s="35">
        <f t="shared" si="4"/>
        <v>53500</v>
      </c>
      <c r="J8" s="35">
        <f t="shared" si="4"/>
        <v>53500</v>
      </c>
      <c r="K8" s="35">
        <f t="shared" si="4"/>
        <v>53500</v>
      </c>
      <c r="L8" s="35">
        <f t="shared" si="4"/>
        <v>56500</v>
      </c>
      <c r="M8" s="35">
        <f t="shared" si="4"/>
        <v>56500</v>
      </c>
      <c r="N8" s="35">
        <f t="shared" si="4"/>
        <v>56500</v>
      </c>
    </row>
    <row r="9">
      <c r="B9" s="50" t="s">
        <v>146</v>
      </c>
      <c r="C9" s="51">
        <f t="shared" ref="C9:N9" si="5">C42</f>
        <v>41540</v>
      </c>
      <c r="D9" s="51">
        <f t="shared" si="5"/>
        <v>41932</v>
      </c>
      <c r="E9" s="51">
        <f t="shared" si="5"/>
        <v>42177</v>
      </c>
      <c r="F9" s="51">
        <f t="shared" si="5"/>
        <v>44635</v>
      </c>
      <c r="G9" s="51">
        <f t="shared" si="5"/>
        <v>44831</v>
      </c>
      <c r="H9" s="51">
        <f t="shared" si="5"/>
        <v>44929</v>
      </c>
      <c r="I9" s="51">
        <f t="shared" si="5"/>
        <v>62293</v>
      </c>
      <c r="J9" s="51">
        <f t="shared" si="5"/>
        <v>47538</v>
      </c>
      <c r="K9" s="51">
        <f t="shared" si="5"/>
        <v>47685</v>
      </c>
      <c r="L9" s="51">
        <f t="shared" si="5"/>
        <v>49098</v>
      </c>
      <c r="M9" s="51">
        <f t="shared" si="5"/>
        <v>49245</v>
      </c>
      <c r="N9" s="51">
        <f t="shared" si="5"/>
        <v>49441</v>
      </c>
    </row>
    <row r="10">
      <c r="B10" s="30" t="s">
        <v>147</v>
      </c>
      <c r="C10" s="35">
        <f t="shared" ref="C10:N10" si="6">C57</f>
        <v>34570</v>
      </c>
      <c r="D10" s="35">
        <f t="shared" si="6"/>
        <v>44570</v>
      </c>
      <c r="E10" s="35">
        <f t="shared" si="6"/>
        <v>44570</v>
      </c>
      <c r="F10" s="35">
        <f t="shared" si="6"/>
        <v>34570</v>
      </c>
      <c r="G10" s="35">
        <f t="shared" si="6"/>
        <v>34570</v>
      </c>
      <c r="H10" s="35">
        <f t="shared" si="6"/>
        <v>34570</v>
      </c>
      <c r="I10" s="35">
        <f t="shared" si="6"/>
        <v>29570</v>
      </c>
      <c r="J10" s="35">
        <f t="shared" si="6"/>
        <v>29570</v>
      </c>
      <c r="K10" s="35">
        <f t="shared" si="6"/>
        <v>29570</v>
      </c>
      <c r="L10" s="35">
        <f t="shared" si="6"/>
        <v>29570</v>
      </c>
      <c r="M10" s="35">
        <f t="shared" si="6"/>
        <v>29570</v>
      </c>
      <c r="N10" s="35">
        <f t="shared" si="6"/>
        <v>29570</v>
      </c>
    </row>
    <row r="11">
      <c r="B11" s="50" t="s">
        <v>148</v>
      </c>
      <c r="C11" s="51">
        <f>'Overview Old'!C26*400</f>
        <v>44000</v>
      </c>
      <c r="D11" s="51">
        <f>'Overview Old'!D26*400</f>
        <v>47200</v>
      </c>
      <c r="E11" s="51">
        <f>'Overview Old'!E26*400</f>
        <v>49200</v>
      </c>
      <c r="F11" s="51">
        <f>'Overview Old'!F26*400</f>
        <v>54000</v>
      </c>
      <c r="G11" s="51">
        <f>'Overview Old'!G26*400</f>
        <v>55600</v>
      </c>
      <c r="H11" s="51">
        <f>'Overview Old'!H26*400</f>
        <v>56400</v>
      </c>
      <c r="I11" s="51">
        <f>'Overview Old'!I26*400</f>
        <v>58800</v>
      </c>
      <c r="J11" s="51">
        <f>'Overview Old'!J26*400</f>
        <v>60800</v>
      </c>
      <c r="K11" s="51">
        <f>'Overview Old'!K26*400</f>
        <v>62000</v>
      </c>
      <c r="L11" s="51">
        <f>'Overview Old'!L26*500</f>
        <v>81000</v>
      </c>
      <c r="M11" s="51">
        <f>'Overview Old'!M26*500</f>
        <v>82500</v>
      </c>
      <c r="N11" s="51">
        <f>'Overview Old'!N26*500</f>
        <v>84500</v>
      </c>
    </row>
    <row r="12">
      <c r="B12" s="52" t="s">
        <v>149</v>
      </c>
      <c r="C12" s="34">
        <v>5000.0</v>
      </c>
      <c r="D12" s="34">
        <v>5000.0</v>
      </c>
      <c r="E12" s="34">
        <v>5000.0</v>
      </c>
      <c r="F12" s="34">
        <v>5000.0</v>
      </c>
      <c r="G12" s="34">
        <v>5000.0</v>
      </c>
      <c r="H12" s="34">
        <v>5000.0</v>
      </c>
      <c r="I12" s="34">
        <v>5000.0</v>
      </c>
      <c r="J12" s="34">
        <v>5000.0</v>
      </c>
      <c r="K12" s="34">
        <v>5000.0</v>
      </c>
      <c r="L12" s="34">
        <v>5000.0</v>
      </c>
      <c r="M12" s="34">
        <v>5000.0</v>
      </c>
      <c r="N12" s="34">
        <v>5000.0</v>
      </c>
    </row>
    <row r="13">
      <c r="B13" s="52" t="s">
        <v>150</v>
      </c>
      <c r="C13" s="34">
        <v>30000.0</v>
      </c>
      <c r="D13" s="34">
        <v>10000.0</v>
      </c>
      <c r="E13" s="34">
        <v>10000.0</v>
      </c>
      <c r="F13" s="34">
        <v>10000.0</v>
      </c>
      <c r="G13" s="34">
        <v>10000.0</v>
      </c>
      <c r="H13" s="34">
        <v>10000.0</v>
      </c>
      <c r="I13" s="34">
        <v>10000.0</v>
      </c>
      <c r="J13" s="34">
        <v>10000.0</v>
      </c>
      <c r="K13" s="34">
        <v>10000.0</v>
      </c>
      <c r="L13" s="34">
        <v>10000.0</v>
      </c>
      <c r="M13" s="34">
        <v>20000.0</v>
      </c>
      <c r="N13" s="34">
        <v>40000.0</v>
      </c>
    </row>
    <row r="14">
      <c r="B14" s="30" t="s">
        <v>151</v>
      </c>
      <c r="C14" s="35">
        <f t="shared" ref="C14:N14" si="7">C68</f>
        <v>13336</v>
      </c>
      <c r="D14" s="35">
        <f t="shared" si="7"/>
        <v>17336</v>
      </c>
      <c r="E14" s="35">
        <f t="shared" si="7"/>
        <v>17336</v>
      </c>
      <c r="F14" s="35">
        <f t="shared" si="7"/>
        <v>17836</v>
      </c>
      <c r="G14" s="35">
        <f t="shared" si="7"/>
        <v>17836</v>
      </c>
      <c r="H14" s="35">
        <f t="shared" si="7"/>
        <v>17836</v>
      </c>
      <c r="I14" s="35">
        <f t="shared" si="7"/>
        <v>18336</v>
      </c>
      <c r="J14" s="35">
        <f t="shared" si="7"/>
        <v>18336</v>
      </c>
      <c r="K14" s="35">
        <f t="shared" si="7"/>
        <v>18336</v>
      </c>
      <c r="L14" s="35">
        <f t="shared" si="7"/>
        <v>18836</v>
      </c>
      <c r="M14" s="35">
        <f t="shared" si="7"/>
        <v>18836</v>
      </c>
      <c r="N14" s="35">
        <f t="shared" si="7"/>
        <v>18836</v>
      </c>
    </row>
    <row r="15">
      <c r="B15" s="2"/>
    </row>
    <row r="16">
      <c r="B16" s="48" t="s">
        <v>152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</row>
    <row r="17">
      <c r="B17" s="30" t="s">
        <v>76</v>
      </c>
      <c r="C17" s="29" t="s">
        <v>77</v>
      </c>
      <c r="D17" s="7"/>
      <c r="E17" s="8"/>
      <c r="F17" s="29" t="s">
        <v>78</v>
      </c>
      <c r="G17" s="7"/>
      <c r="H17" s="8"/>
      <c r="I17" s="29" t="s">
        <v>79</v>
      </c>
      <c r="J17" s="7"/>
      <c r="K17" s="8"/>
      <c r="L17" s="29" t="s">
        <v>80</v>
      </c>
      <c r="M17" s="7"/>
      <c r="N17" s="8"/>
    </row>
    <row r="18">
      <c r="B18" s="30" t="s">
        <v>141</v>
      </c>
      <c r="C18" s="13" t="s">
        <v>81</v>
      </c>
      <c r="D18" s="13" t="s">
        <v>82</v>
      </c>
      <c r="E18" s="13" t="s">
        <v>83</v>
      </c>
      <c r="F18" s="13" t="s">
        <v>84</v>
      </c>
      <c r="G18" s="13" t="s">
        <v>85</v>
      </c>
      <c r="H18" s="13" t="s">
        <v>86</v>
      </c>
      <c r="I18" s="13" t="s">
        <v>87</v>
      </c>
      <c r="J18" s="13" t="s">
        <v>88</v>
      </c>
      <c r="K18" s="13" t="s">
        <v>89</v>
      </c>
      <c r="L18" s="13" t="s">
        <v>90</v>
      </c>
      <c r="M18" s="13" t="s">
        <v>91</v>
      </c>
      <c r="N18" s="13" t="s">
        <v>92</v>
      </c>
    </row>
    <row r="19">
      <c r="B19" s="12" t="s">
        <v>153</v>
      </c>
      <c r="C19" s="49">
        <f t="shared" ref="C19:N19" si="8">SUM(C20:C22)</f>
        <v>80000</v>
      </c>
      <c r="D19" s="49">
        <f t="shared" si="8"/>
        <v>80000</v>
      </c>
      <c r="E19" s="49">
        <f t="shared" si="8"/>
        <v>80000</v>
      </c>
      <c r="F19" s="49">
        <f t="shared" si="8"/>
        <v>80000</v>
      </c>
      <c r="G19" s="49">
        <f t="shared" si="8"/>
        <v>80000</v>
      </c>
      <c r="H19" s="49">
        <f t="shared" si="8"/>
        <v>80000</v>
      </c>
      <c r="I19" s="49">
        <f t="shared" si="8"/>
        <v>80000</v>
      </c>
      <c r="J19" s="49">
        <f t="shared" si="8"/>
        <v>80000</v>
      </c>
      <c r="K19" s="49">
        <f t="shared" si="8"/>
        <v>80000</v>
      </c>
      <c r="L19" s="49">
        <f t="shared" si="8"/>
        <v>80000</v>
      </c>
      <c r="M19" s="49">
        <f t="shared" si="8"/>
        <v>80000</v>
      </c>
      <c r="N19" s="49">
        <f t="shared" si="8"/>
        <v>80000</v>
      </c>
    </row>
    <row r="20">
      <c r="B20" s="30" t="s">
        <v>154</v>
      </c>
      <c r="C20" s="34">
        <v>30000.0</v>
      </c>
      <c r="D20" s="34">
        <v>30000.0</v>
      </c>
      <c r="E20" s="34">
        <v>30000.0</v>
      </c>
      <c r="F20" s="34">
        <v>30000.0</v>
      </c>
      <c r="G20" s="34">
        <v>30000.0</v>
      </c>
      <c r="H20" s="34">
        <v>30000.0</v>
      </c>
      <c r="I20" s="34">
        <v>30000.0</v>
      </c>
      <c r="J20" s="34">
        <v>30000.0</v>
      </c>
      <c r="K20" s="34">
        <v>30000.0</v>
      </c>
      <c r="L20" s="34">
        <v>30000.0</v>
      </c>
      <c r="M20" s="34">
        <v>30000.0</v>
      </c>
      <c r="N20" s="34">
        <v>30000.0</v>
      </c>
    </row>
    <row r="21">
      <c r="B21" s="30" t="s">
        <v>155</v>
      </c>
      <c r="C21" s="34">
        <v>25000.0</v>
      </c>
      <c r="D21" s="34">
        <v>25000.0</v>
      </c>
      <c r="E21" s="34">
        <v>25000.0</v>
      </c>
      <c r="F21" s="34">
        <v>25000.0</v>
      </c>
      <c r="G21" s="34">
        <v>25000.0</v>
      </c>
      <c r="H21" s="34">
        <v>25000.0</v>
      </c>
      <c r="I21" s="34">
        <v>25000.0</v>
      </c>
      <c r="J21" s="34">
        <v>25000.0</v>
      </c>
      <c r="K21" s="34">
        <v>25000.0</v>
      </c>
      <c r="L21" s="34">
        <v>25000.0</v>
      </c>
      <c r="M21" s="34">
        <v>25000.0</v>
      </c>
      <c r="N21" s="34">
        <v>25000.0</v>
      </c>
    </row>
    <row r="22">
      <c r="B22" s="30" t="s">
        <v>156</v>
      </c>
      <c r="C22" s="34">
        <v>25000.0</v>
      </c>
      <c r="D22" s="34">
        <v>25000.0</v>
      </c>
      <c r="E22" s="34">
        <v>25000.0</v>
      </c>
      <c r="F22" s="34">
        <v>25000.0</v>
      </c>
      <c r="G22" s="34">
        <v>25000.0</v>
      </c>
      <c r="H22" s="34">
        <v>25000.0</v>
      </c>
      <c r="I22" s="34">
        <v>25000.0</v>
      </c>
      <c r="J22" s="34">
        <v>25000.0</v>
      </c>
      <c r="K22" s="34">
        <v>25000.0</v>
      </c>
      <c r="L22" s="34">
        <v>25000.0</v>
      </c>
      <c r="M22" s="34">
        <v>25000.0</v>
      </c>
      <c r="N22" s="34">
        <v>25000.0</v>
      </c>
    </row>
    <row r="23">
      <c r="B23" s="2"/>
    </row>
    <row r="24">
      <c r="B24" s="48" t="s">
        <v>157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</row>
    <row r="25">
      <c r="B25" s="30" t="s">
        <v>76</v>
      </c>
      <c r="C25" s="29" t="s">
        <v>77</v>
      </c>
      <c r="D25" s="7"/>
      <c r="E25" s="8"/>
      <c r="F25" s="29" t="s">
        <v>78</v>
      </c>
      <c r="G25" s="7"/>
      <c r="H25" s="8"/>
      <c r="I25" s="29" t="s">
        <v>79</v>
      </c>
      <c r="J25" s="7"/>
      <c r="K25" s="8"/>
      <c r="L25" s="29" t="s">
        <v>80</v>
      </c>
      <c r="M25" s="7"/>
      <c r="N25" s="8"/>
    </row>
    <row r="26">
      <c r="B26" s="30" t="s">
        <v>141</v>
      </c>
      <c r="C26" s="13" t="s">
        <v>81</v>
      </c>
      <c r="D26" s="13" t="s">
        <v>82</v>
      </c>
      <c r="E26" s="13" t="s">
        <v>83</v>
      </c>
      <c r="F26" s="13" t="s">
        <v>84</v>
      </c>
      <c r="G26" s="13" t="s">
        <v>85</v>
      </c>
      <c r="H26" s="13" t="s">
        <v>86</v>
      </c>
      <c r="I26" s="13" t="s">
        <v>87</v>
      </c>
      <c r="J26" s="13" t="s">
        <v>88</v>
      </c>
      <c r="K26" s="13" t="s">
        <v>89</v>
      </c>
      <c r="L26" s="13" t="s">
        <v>90</v>
      </c>
      <c r="M26" s="13" t="s">
        <v>91</v>
      </c>
      <c r="N26" s="13" t="s">
        <v>92</v>
      </c>
    </row>
    <row r="27">
      <c r="B27" s="12" t="s">
        <v>158</v>
      </c>
      <c r="C27" s="49">
        <f t="shared" ref="C27:N27" si="9">SUM(C28:C37)</f>
        <v>50000</v>
      </c>
      <c r="D27" s="49">
        <f t="shared" si="9"/>
        <v>46000</v>
      </c>
      <c r="E27" s="49">
        <f t="shared" si="9"/>
        <v>46000</v>
      </c>
      <c r="F27" s="49">
        <f t="shared" si="9"/>
        <v>46000</v>
      </c>
      <c r="G27" s="49">
        <f t="shared" si="9"/>
        <v>47000</v>
      </c>
      <c r="H27" s="49">
        <f t="shared" si="9"/>
        <v>51000</v>
      </c>
      <c r="I27" s="49">
        <f t="shared" si="9"/>
        <v>53500</v>
      </c>
      <c r="J27" s="49">
        <f t="shared" si="9"/>
        <v>53500</v>
      </c>
      <c r="K27" s="49">
        <f t="shared" si="9"/>
        <v>53500</v>
      </c>
      <c r="L27" s="49">
        <f t="shared" si="9"/>
        <v>56500</v>
      </c>
      <c r="M27" s="49">
        <f t="shared" si="9"/>
        <v>56500</v>
      </c>
      <c r="N27" s="49">
        <f t="shared" si="9"/>
        <v>56500</v>
      </c>
    </row>
    <row r="28">
      <c r="B28" s="52" t="s">
        <v>159</v>
      </c>
      <c r="C28" s="53">
        <v>7000.0</v>
      </c>
      <c r="D28" s="53">
        <v>7000.0</v>
      </c>
      <c r="E28" s="53">
        <v>7000.0</v>
      </c>
      <c r="F28" s="53">
        <v>7500.0</v>
      </c>
      <c r="G28" s="53">
        <v>7500.0</v>
      </c>
      <c r="H28" s="53">
        <v>7500.0</v>
      </c>
      <c r="I28" s="53">
        <v>7500.0</v>
      </c>
      <c r="J28" s="53">
        <v>7500.0</v>
      </c>
      <c r="K28" s="53">
        <v>7500.0</v>
      </c>
      <c r="L28" s="53">
        <v>8000.0</v>
      </c>
      <c r="M28" s="53">
        <v>8000.0</v>
      </c>
      <c r="N28" s="53">
        <v>8000.0</v>
      </c>
    </row>
    <row r="29">
      <c r="B29" s="30" t="s">
        <v>160</v>
      </c>
      <c r="C29" s="34">
        <v>3500.0</v>
      </c>
      <c r="D29" s="34">
        <v>3500.0</v>
      </c>
      <c r="E29" s="34">
        <v>3500.0</v>
      </c>
      <c r="F29" s="34">
        <v>3500.0</v>
      </c>
      <c r="G29" s="34">
        <v>3500.0</v>
      </c>
      <c r="H29" s="34">
        <v>3500.0</v>
      </c>
      <c r="I29" s="34">
        <v>4000.0</v>
      </c>
      <c r="J29" s="34">
        <v>4000.0</v>
      </c>
      <c r="K29" s="34">
        <v>4000.0</v>
      </c>
      <c r="L29" s="34">
        <v>4000.0</v>
      </c>
      <c r="M29" s="34">
        <v>4000.0</v>
      </c>
      <c r="N29" s="34">
        <v>4000.0</v>
      </c>
    </row>
    <row r="30">
      <c r="B30" s="30" t="s">
        <v>161</v>
      </c>
      <c r="C30" s="34">
        <v>2000.0</v>
      </c>
      <c r="D30" s="34">
        <v>2000.0</v>
      </c>
      <c r="E30" s="34">
        <v>2000.0</v>
      </c>
      <c r="F30" s="34">
        <v>2000.0</v>
      </c>
      <c r="G30" s="34">
        <v>3000.0</v>
      </c>
      <c r="H30" s="34">
        <v>3000.0</v>
      </c>
      <c r="I30" s="34">
        <v>3000.0</v>
      </c>
      <c r="J30" s="34">
        <v>3000.0</v>
      </c>
      <c r="K30" s="34">
        <v>3000.0</v>
      </c>
      <c r="L30" s="34">
        <v>3500.0</v>
      </c>
      <c r="M30" s="34">
        <v>3500.0</v>
      </c>
      <c r="N30" s="34">
        <v>3500.0</v>
      </c>
    </row>
    <row r="31">
      <c r="B31" s="30" t="s">
        <v>162</v>
      </c>
      <c r="C31" s="53">
        <v>7000.0</v>
      </c>
      <c r="D31" s="53">
        <v>7000.0</v>
      </c>
      <c r="E31" s="53">
        <v>7000.0</v>
      </c>
      <c r="F31" s="53">
        <v>8000.0</v>
      </c>
      <c r="G31" s="53">
        <v>8000.0</v>
      </c>
      <c r="H31" s="53">
        <v>8000.0</v>
      </c>
      <c r="I31" s="53">
        <v>9000.0</v>
      </c>
      <c r="J31" s="53">
        <v>9000.0</v>
      </c>
      <c r="K31" s="53">
        <v>9000.0</v>
      </c>
      <c r="L31" s="53">
        <v>10000.0</v>
      </c>
      <c r="M31" s="53">
        <v>10000.0</v>
      </c>
      <c r="N31" s="53">
        <v>10000.0</v>
      </c>
    </row>
    <row r="32">
      <c r="B32" s="30" t="s">
        <v>163</v>
      </c>
      <c r="C32" s="34">
        <v>4000.0</v>
      </c>
      <c r="D32" s="34">
        <v>4000.0</v>
      </c>
      <c r="E32" s="34">
        <v>4000.0</v>
      </c>
      <c r="F32" s="34">
        <v>4500.0</v>
      </c>
      <c r="G32" s="34">
        <v>4500.0</v>
      </c>
      <c r="H32" s="34">
        <v>4500.0</v>
      </c>
      <c r="I32" s="34">
        <v>4500.0</v>
      </c>
      <c r="J32" s="34">
        <v>4500.0</v>
      </c>
      <c r="K32" s="34">
        <v>4500.0</v>
      </c>
      <c r="L32" s="34">
        <v>5000.0</v>
      </c>
      <c r="M32" s="34">
        <v>5000.0</v>
      </c>
      <c r="N32" s="34">
        <v>5000.0</v>
      </c>
    </row>
    <row r="33">
      <c r="B33" s="30" t="s">
        <v>164</v>
      </c>
      <c r="C33" s="53">
        <v>7000.0</v>
      </c>
      <c r="D33" s="53">
        <v>7000.0</v>
      </c>
      <c r="E33" s="53">
        <v>7000.0</v>
      </c>
      <c r="F33" s="53">
        <v>7500.0</v>
      </c>
      <c r="G33" s="53">
        <v>7500.0</v>
      </c>
      <c r="H33" s="53">
        <v>7500.0</v>
      </c>
      <c r="I33" s="53">
        <v>8000.0</v>
      </c>
      <c r="J33" s="53">
        <v>8000.0</v>
      </c>
      <c r="K33" s="53">
        <v>8000.0</v>
      </c>
      <c r="L33" s="53">
        <v>8000.0</v>
      </c>
      <c r="M33" s="53">
        <v>8000.0</v>
      </c>
      <c r="N33" s="53">
        <v>8000.0</v>
      </c>
    </row>
    <row r="34">
      <c r="B34" s="52" t="s">
        <v>165</v>
      </c>
      <c r="C34" s="53">
        <v>6500.0</v>
      </c>
      <c r="D34" s="53">
        <v>6500.0</v>
      </c>
      <c r="E34" s="53">
        <v>6500.0</v>
      </c>
      <c r="F34" s="53">
        <v>7000.0</v>
      </c>
      <c r="G34" s="53">
        <v>7000.0</v>
      </c>
      <c r="H34" s="53">
        <v>7000.0</v>
      </c>
      <c r="I34" s="53">
        <v>7000.0</v>
      </c>
      <c r="J34" s="53">
        <v>7000.0</v>
      </c>
      <c r="K34" s="53">
        <v>7000.0</v>
      </c>
      <c r="L34" s="53">
        <v>7500.0</v>
      </c>
      <c r="M34" s="53">
        <v>7500.0</v>
      </c>
      <c r="N34" s="53">
        <v>7500.0</v>
      </c>
    </row>
    <row r="35">
      <c r="B35" s="30" t="s">
        <v>166</v>
      </c>
      <c r="C35" s="34">
        <v>6000.0</v>
      </c>
      <c r="D35" s="34">
        <v>6000.0</v>
      </c>
      <c r="E35" s="34">
        <v>6000.0</v>
      </c>
      <c r="F35" s="34">
        <v>6000.0</v>
      </c>
      <c r="G35" s="34">
        <v>6000.0</v>
      </c>
      <c r="H35" s="34">
        <v>6000.0</v>
      </c>
      <c r="I35" s="53">
        <v>6500.0</v>
      </c>
      <c r="J35" s="53">
        <v>6500.0</v>
      </c>
      <c r="K35" s="53">
        <v>6500.0</v>
      </c>
      <c r="L35" s="53">
        <v>6500.0</v>
      </c>
      <c r="M35" s="53">
        <v>6500.0</v>
      </c>
      <c r="N35" s="53">
        <v>6500.0</v>
      </c>
    </row>
    <row r="36">
      <c r="B36" s="30" t="s">
        <v>167</v>
      </c>
      <c r="C36" s="53">
        <v>7000.0</v>
      </c>
      <c r="D36" s="53">
        <v>3000.0</v>
      </c>
      <c r="E36" s="53">
        <v>3000.0</v>
      </c>
      <c r="F36" s="53"/>
      <c r="G36" s="53"/>
      <c r="H36" s="53"/>
      <c r="I36" s="53"/>
      <c r="J36" s="53"/>
      <c r="K36" s="53"/>
      <c r="L36" s="53"/>
      <c r="M36" s="53"/>
      <c r="N36" s="53"/>
    </row>
    <row r="37">
      <c r="B37" s="54" t="s">
        <v>168</v>
      </c>
      <c r="C37" s="55"/>
      <c r="D37" s="55"/>
      <c r="E37" s="55"/>
      <c r="F37" s="55"/>
      <c r="G37" s="55"/>
      <c r="H37" s="34">
        <v>4000.0</v>
      </c>
      <c r="I37" s="34">
        <v>4000.0</v>
      </c>
      <c r="J37" s="34">
        <v>4000.0</v>
      </c>
      <c r="K37" s="34">
        <v>4000.0</v>
      </c>
      <c r="L37" s="34">
        <v>4000.0</v>
      </c>
      <c r="M37" s="34">
        <v>4000.0</v>
      </c>
      <c r="N37" s="34">
        <v>4000.0</v>
      </c>
    </row>
    <row r="39">
      <c r="B39" s="48" t="s">
        <v>169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</row>
    <row r="40">
      <c r="B40" s="30" t="s">
        <v>76</v>
      </c>
      <c r="C40" s="29" t="s">
        <v>77</v>
      </c>
      <c r="D40" s="7"/>
      <c r="E40" s="8"/>
      <c r="F40" s="29" t="s">
        <v>78</v>
      </c>
      <c r="G40" s="7"/>
      <c r="H40" s="8"/>
      <c r="I40" s="29" t="s">
        <v>79</v>
      </c>
      <c r="J40" s="7"/>
      <c r="K40" s="8"/>
      <c r="L40" s="29" t="s">
        <v>80</v>
      </c>
      <c r="M40" s="7"/>
      <c r="N40" s="8"/>
    </row>
    <row r="41">
      <c r="B41" s="30" t="s">
        <v>141</v>
      </c>
      <c r="C41" s="13" t="s">
        <v>81</v>
      </c>
      <c r="D41" s="13" t="s">
        <v>82</v>
      </c>
      <c r="E41" s="13" t="s">
        <v>83</v>
      </c>
      <c r="F41" s="13" t="s">
        <v>84</v>
      </c>
      <c r="G41" s="13" t="s">
        <v>85</v>
      </c>
      <c r="H41" s="13" t="s">
        <v>86</v>
      </c>
      <c r="I41" s="13" t="s">
        <v>87</v>
      </c>
      <c r="J41" s="13" t="s">
        <v>88</v>
      </c>
      <c r="K41" s="13" t="s">
        <v>89</v>
      </c>
      <c r="L41" s="13" t="s">
        <v>90</v>
      </c>
      <c r="M41" s="13" t="s">
        <v>91</v>
      </c>
      <c r="N41" s="13" t="s">
        <v>92</v>
      </c>
    </row>
    <row r="42">
      <c r="B42" s="12" t="s">
        <v>170</v>
      </c>
      <c r="C42" s="49">
        <f t="shared" ref="C42:N42" si="10">SUM(C43:C52)</f>
        <v>41540</v>
      </c>
      <c r="D42" s="49">
        <f t="shared" si="10"/>
        <v>41932</v>
      </c>
      <c r="E42" s="49">
        <f t="shared" si="10"/>
        <v>42177</v>
      </c>
      <c r="F42" s="49">
        <f t="shared" si="10"/>
        <v>44635</v>
      </c>
      <c r="G42" s="49">
        <f t="shared" si="10"/>
        <v>44831</v>
      </c>
      <c r="H42" s="49">
        <f t="shared" si="10"/>
        <v>44929</v>
      </c>
      <c r="I42" s="49">
        <f t="shared" si="10"/>
        <v>62293</v>
      </c>
      <c r="J42" s="49">
        <f t="shared" si="10"/>
        <v>47538</v>
      </c>
      <c r="K42" s="49">
        <f t="shared" si="10"/>
        <v>47685</v>
      </c>
      <c r="L42" s="49">
        <f t="shared" si="10"/>
        <v>49098</v>
      </c>
      <c r="M42" s="49">
        <f t="shared" si="10"/>
        <v>49245</v>
      </c>
      <c r="N42" s="49">
        <f t="shared" si="10"/>
        <v>49441</v>
      </c>
    </row>
    <row r="43">
      <c r="B43" s="30" t="s">
        <v>171</v>
      </c>
      <c r="C43" s="34">
        <v>5000.0</v>
      </c>
      <c r="D43" s="34">
        <v>5000.0</v>
      </c>
      <c r="E43" s="34">
        <v>5000.0</v>
      </c>
      <c r="F43" s="34">
        <v>5000.0</v>
      </c>
      <c r="G43" s="34">
        <v>5000.0</v>
      </c>
      <c r="H43" s="34">
        <v>5000.0</v>
      </c>
      <c r="I43" s="34">
        <v>5000.0</v>
      </c>
      <c r="J43" s="34">
        <v>5000.0</v>
      </c>
      <c r="K43" s="34">
        <v>5000.0</v>
      </c>
      <c r="L43" s="34">
        <v>5000.0</v>
      </c>
      <c r="M43" s="34">
        <v>5000.0</v>
      </c>
      <c r="N43" s="34">
        <v>5000.0</v>
      </c>
    </row>
    <row r="44">
      <c r="B44" s="30" t="s">
        <v>172</v>
      </c>
      <c r="C44" s="34">
        <v>2700.0</v>
      </c>
      <c r="D44" s="34">
        <v>2700.0</v>
      </c>
      <c r="E44" s="34">
        <v>2700.0</v>
      </c>
      <c r="F44" s="34">
        <v>3500.0</v>
      </c>
      <c r="G44" s="34">
        <v>3500.0</v>
      </c>
      <c r="H44" s="34">
        <v>3500.0</v>
      </c>
      <c r="I44" s="34">
        <v>4000.0</v>
      </c>
      <c r="J44" s="34">
        <v>4000.0</v>
      </c>
      <c r="K44" s="34">
        <v>4000.0</v>
      </c>
      <c r="L44" s="34">
        <v>4500.0</v>
      </c>
      <c r="M44" s="34">
        <v>4500.0</v>
      </c>
      <c r="N44" s="34">
        <v>4500.0</v>
      </c>
    </row>
    <row r="45">
      <c r="B45" s="30" t="s">
        <v>173</v>
      </c>
      <c r="C45" s="34">
        <v>2000.0</v>
      </c>
      <c r="D45" s="34">
        <v>2000.0</v>
      </c>
      <c r="E45" s="34">
        <v>2000.0</v>
      </c>
      <c r="F45" s="34">
        <v>2500.0</v>
      </c>
      <c r="G45" s="34">
        <v>2500.0</v>
      </c>
      <c r="H45" s="34">
        <v>2500.0</v>
      </c>
      <c r="I45" s="34">
        <v>3000.0</v>
      </c>
      <c r="J45" s="34">
        <v>3000.0</v>
      </c>
      <c r="K45" s="34">
        <v>3000.0</v>
      </c>
      <c r="L45" s="34">
        <v>3000.0</v>
      </c>
      <c r="M45" s="34">
        <v>3000.0</v>
      </c>
      <c r="N45" s="34">
        <v>3000.0</v>
      </c>
    </row>
    <row r="46">
      <c r="B46" s="30" t="s">
        <v>174</v>
      </c>
      <c r="C46" s="34">
        <f>'Overview Old'!C26*49</f>
        <v>5390</v>
      </c>
      <c r="D46" s="34">
        <f>'Overview Old'!D26*49</f>
        <v>5782</v>
      </c>
      <c r="E46" s="34">
        <f>'Overview Old'!E26*49</f>
        <v>6027</v>
      </c>
      <c r="F46" s="34">
        <f>'Overview Old'!F26*49</f>
        <v>6615</v>
      </c>
      <c r="G46" s="34">
        <f>'Overview Old'!G26*49</f>
        <v>6811</v>
      </c>
      <c r="H46" s="34">
        <f>'Overview Old'!H26*49</f>
        <v>6909</v>
      </c>
      <c r="I46" s="34">
        <f>'Overview Old'!I26*49</f>
        <v>7203</v>
      </c>
      <c r="J46" s="34">
        <f>'Overview Old'!J26*49</f>
        <v>7448</v>
      </c>
      <c r="K46" s="34">
        <f>'Overview Old'!K26*49</f>
        <v>7595</v>
      </c>
      <c r="L46" s="34">
        <f>'Overview Old'!L26*49</f>
        <v>7938</v>
      </c>
      <c r="M46" s="34">
        <f>'Overview Old'!M26*49</f>
        <v>8085</v>
      </c>
      <c r="N46" s="34">
        <f>'Overview Old'!N26*49</f>
        <v>8281</v>
      </c>
    </row>
    <row r="47">
      <c r="B47" s="30" t="s">
        <v>175</v>
      </c>
      <c r="C47" s="34">
        <v>1300.0</v>
      </c>
      <c r="D47" s="34">
        <v>1300.0</v>
      </c>
      <c r="E47" s="34">
        <v>1300.0</v>
      </c>
      <c r="F47" s="34">
        <v>1300.0</v>
      </c>
      <c r="G47" s="34">
        <v>1300.0</v>
      </c>
      <c r="H47" s="34">
        <v>1300.0</v>
      </c>
      <c r="I47" s="34">
        <v>1300.0</v>
      </c>
      <c r="J47" s="34">
        <v>1300.0</v>
      </c>
      <c r="K47" s="34">
        <v>1300.0</v>
      </c>
      <c r="L47" s="34">
        <v>1300.0</v>
      </c>
      <c r="M47" s="34">
        <v>1300.0</v>
      </c>
      <c r="N47" s="34">
        <v>1300.0</v>
      </c>
    </row>
    <row r="48">
      <c r="B48" s="30" t="s">
        <v>176</v>
      </c>
      <c r="C48" s="34">
        <v>800.0</v>
      </c>
      <c r="D48" s="34">
        <v>800.0</v>
      </c>
      <c r="E48" s="34">
        <v>800.0</v>
      </c>
      <c r="F48" s="34">
        <v>800.0</v>
      </c>
      <c r="G48" s="34">
        <v>800.0</v>
      </c>
      <c r="H48" s="34">
        <v>800.0</v>
      </c>
      <c r="I48" s="34">
        <v>800.0</v>
      </c>
      <c r="J48" s="34">
        <v>800.0</v>
      </c>
      <c r="K48" s="34">
        <v>800.0</v>
      </c>
      <c r="L48" s="34">
        <v>800.0</v>
      </c>
      <c r="M48" s="34">
        <v>800.0</v>
      </c>
      <c r="N48" s="34">
        <v>800.0</v>
      </c>
    </row>
    <row r="49">
      <c r="B49" s="30" t="s">
        <v>177</v>
      </c>
      <c r="C49" s="34">
        <v>20000.0</v>
      </c>
      <c r="D49" s="34">
        <v>20000.0</v>
      </c>
      <c r="E49" s="34">
        <v>20000.0</v>
      </c>
      <c r="F49" s="34">
        <v>20000.0</v>
      </c>
      <c r="G49" s="34">
        <v>20000.0</v>
      </c>
      <c r="H49" s="34">
        <v>20000.0</v>
      </c>
      <c r="I49" s="34">
        <v>20000.0</v>
      </c>
      <c r="J49" s="34">
        <v>20000.0</v>
      </c>
      <c r="K49" s="34">
        <v>20000.0</v>
      </c>
      <c r="L49" s="34">
        <v>20000.0</v>
      </c>
      <c r="M49" s="34">
        <v>20000.0</v>
      </c>
      <c r="N49" s="34">
        <v>20000.0</v>
      </c>
    </row>
    <row r="50">
      <c r="B50" s="30" t="s">
        <v>178</v>
      </c>
      <c r="C50" s="56"/>
      <c r="D50" s="56"/>
      <c r="E50" s="56"/>
      <c r="F50" s="56"/>
      <c r="G50" s="56"/>
      <c r="H50" s="56"/>
      <c r="I50" s="34">
        <v>15000.0</v>
      </c>
      <c r="J50" s="56"/>
      <c r="K50" s="56"/>
      <c r="L50" s="56"/>
      <c r="M50" s="56"/>
      <c r="N50" s="56"/>
    </row>
    <row r="51">
      <c r="B51" s="30" t="s">
        <v>179</v>
      </c>
      <c r="C51" s="34">
        <f t="shared" ref="C51:E51" si="11">25*19*6</f>
        <v>2850</v>
      </c>
      <c r="D51" s="34">
        <f t="shared" si="11"/>
        <v>2850</v>
      </c>
      <c r="E51" s="34">
        <f t="shared" si="11"/>
        <v>2850</v>
      </c>
      <c r="F51" s="34">
        <f t="shared" ref="F51:H51" si="12">30*19*6</f>
        <v>3420</v>
      </c>
      <c r="G51" s="34">
        <f t="shared" si="12"/>
        <v>3420</v>
      </c>
      <c r="H51" s="34">
        <f t="shared" si="12"/>
        <v>3420</v>
      </c>
      <c r="I51" s="34">
        <f t="shared" ref="I51:K51" si="13">35*19*6</f>
        <v>3990</v>
      </c>
      <c r="J51" s="34">
        <f t="shared" si="13"/>
        <v>3990</v>
      </c>
      <c r="K51" s="34">
        <f t="shared" si="13"/>
        <v>3990</v>
      </c>
      <c r="L51" s="34">
        <f t="shared" ref="L51:N51" si="14">40*19*6</f>
        <v>4560</v>
      </c>
      <c r="M51" s="34">
        <f t="shared" si="14"/>
        <v>4560</v>
      </c>
      <c r="N51" s="34">
        <f t="shared" si="14"/>
        <v>4560</v>
      </c>
    </row>
    <row r="52">
      <c r="B52" s="30" t="s">
        <v>180</v>
      </c>
      <c r="C52" s="34">
        <v>1500.0</v>
      </c>
      <c r="D52" s="34">
        <v>1500.0</v>
      </c>
      <c r="E52" s="34">
        <v>1500.0</v>
      </c>
      <c r="F52" s="34">
        <v>1500.0</v>
      </c>
      <c r="G52" s="34">
        <v>1500.0</v>
      </c>
      <c r="H52" s="34">
        <v>1500.0</v>
      </c>
      <c r="I52" s="34">
        <v>2000.0</v>
      </c>
      <c r="J52" s="34">
        <v>2000.0</v>
      </c>
      <c r="K52" s="34">
        <v>2000.0</v>
      </c>
      <c r="L52" s="34">
        <v>2000.0</v>
      </c>
      <c r="M52" s="34">
        <v>2000.0</v>
      </c>
      <c r="N52" s="34">
        <v>2000.0</v>
      </c>
    </row>
    <row r="54">
      <c r="B54" s="48" t="s">
        <v>181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</row>
    <row r="55">
      <c r="B55" s="30" t="s">
        <v>76</v>
      </c>
      <c r="C55" s="29" t="s">
        <v>77</v>
      </c>
      <c r="D55" s="7"/>
      <c r="E55" s="8"/>
      <c r="F55" s="29" t="s">
        <v>78</v>
      </c>
      <c r="G55" s="7"/>
      <c r="H55" s="8"/>
      <c r="I55" s="29" t="s">
        <v>79</v>
      </c>
      <c r="J55" s="7"/>
      <c r="K55" s="8"/>
      <c r="L55" s="29" t="s">
        <v>80</v>
      </c>
      <c r="M55" s="7"/>
      <c r="N55" s="8"/>
    </row>
    <row r="56">
      <c r="B56" s="30" t="s">
        <v>141</v>
      </c>
      <c r="C56" s="13" t="s">
        <v>81</v>
      </c>
      <c r="D56" s="13" t="s">
        <v>82</v>
      </c>
      <c r="E56" s="13" t="s">
        <v>83</v>
      </c>
      <c r="F56" s="13" t="s">
        <v>84</v>
      </c>
      <c r="G56" s="13" t="s">
        <v>85</v>
      </c>
      <c r="H56" s="13" t="s">
        <v>86</v>
      </c>
      <c r="I56" s="13" t="s">
        <v>87</v>
      </c>
      <c r="J56" s="13" t="s">
        <v>88</v>
      </c>
      <c r="K56" s="13" t="s">
        <v>89</v>
      </c>
      <c r="L56" s="13" t="s">
        <v>90</v>
      </c>
      <c r="M56" s="13" t="s">
        <v>91</v>
      </c>
      <c r="N56" s="13" t="s">
        <v>92</v>
      </c>
    </row>
    <row r="57">
      <c r="B57" s="12" t="s">
        <v>182</v>
      </c>
      <c r="C57" s="49">
        <f t="shared" ref="C57:N57" si="15">SUM(C58:C63)</f>
        <v>34570</v>
      </c>
      <c r="D57" s="49">
        <f t="shared" si="15"/>
        <v>44570</v>
      </c>
      <c r="E57" s="49">
        <f t="shared" si="15"/>
        <v>44570</v>
      </c>
      <c r="F57" s="49">
        <f t="shared" si="15"/>
        <v>34570</v>
      </c>
      <c r="G57" s="49">
        <f t="shared" si="15"/>
        <v>34570</v>
      </c>
      <c r="H57" s="49">
        <f t="shared" si="15"/>
        <v>34570</v>
      </c>
      <c r="I57" s="49">
        <f t="shared" si="15"/>
        <v>29570</v>
      </c>
      <c r="J57" s="49">
        <f t="shared" si="15"/>
        <v>29570</v>
      </c>
      <c r="K57" s="49">
        <f t="shared" si="15"/>
        <v>29570</v>
      </c>
      <c r="L57" s="49">
        <f t="shared" si="15"/>
        <v>29570</v>
      </c>
      <c r="M57" s="49">
        <f t="shared" si="15"/>
        <v>29570</v>
      </c>
      <c r="N57" s="49">
        <f t="shared" si="15"/>
        <v>29570</v>
      </c>
    </row>
    <row r="58">
      <c r="B58" s="30" t="s">
        <v>183</v>
      </c>
      <c r="C58" s="34">
        <v>1000.0</v>
      </c>
      <c r="D58" s="34">
        <v>1000.0</v>
      </c>
      <c r="E58" s="34">
        <v>1000.0</v>
      </c>
      <c r="F58" s="34">
        <v>1000.0</v>
      </c>
      <c r="G58" s="34">
        <v>1000.0</v>
      </c>
      <c r="H58" s="34">
        <v>1000.0</v>
      </c>
      <c r="I58" s="34">
        <v>1000.0</v>
      </c>
      <c r="J58" s="34">
        <v>1000.0</v>
      </c>
      <c r="K58" s="34">
        <v>1000.0</v>
      </c>
      <c r="L58" s="34">
        <v>1000.0</v>
      </c>
      <c r="M58" s="34">
        <v>1000.0</v>
      </c>
      <c r="N58" s="34">
        <v>1000.0</v>
      </c>
    </row>
    <row r="59">
      <c r="B59" s="30" t="s">
        <v>184</v>
      </c>
      <c r="C59" s="34">
        <v>2450.0</v>
      </c>
      <c r="D59" s="34">
        <v>2450.0</v>
      </c>
      <c r="E59" s="34">
        <v>2450.0</v>
      </c>
      <c r="F59" s="34">
        <v>2450.0</v>
      </c>
      <c r="G59" s="34">
        <v>2450.0</v>
      </c>
      <c r="H59" s="34">
        <v>2450.0</v>
      </c>
      <c r="I59" s="34">
        <v>2450.0</v>
      </c>
      <c r="J59" s="34">
        <v>2450.0</v>
      </c>
      <c r="K59" s="34">
        <v>2450.0</v>
      </c>
      <c r="L59" s="34">
        <v>2450.0</v>
      </c>
      <c r="M59" s="34">
        <v>2450.0</v>
      </c>
      <c r="N59" s="34">
        <v>2450.0</v>
      </c>
    </row>
    <row r="60">
      <c r="B60" s="50" t="s">
        <v>185</v>
      </c>
      <c r="C60" s="34">
        <v>16120.0</v>
      </c>
      <c r="D60" s="34">
        <v>16120.0</v>
      </c>
      <c r="E60" s="34">
        <v>16120.0</v>
      </c>
      <c r="F60" s="34">
        <v>16120.0</v>
      </c>
      <c r="G60" s="34">
        <v>16120.0</v>
      </c>
      <c r="H60" s="34">
        <v>16120.0</v>
      </c>
      <c r="I60" s="34">
        <v>16120.0</v>
      </c>
      <c r="J60" s="34">
        <v>16120.0</v>
      </c>
      <c r="K60" s="34">
        <v>16120.0</v>
      </c>
      <c r="L60" s="34">
        <v>16120.0</v>
      </c>
      <c r="M60" s="34">
        <v>16120.0</v>
      </c>
      <c r="N60" s="34">
        <v>16120.0</v>
      </c>
    </row>
    <row r="61">
      <c r="B61" s="30" t="s">
        <v>186</v>
      </c>
      <c r="C61" s="34">
        <v>10000.0</v>
      </c>
      <c r="D61" s="34">
        <v>10000.0</v>
      </c>
      <c r="E61" s="34">
        <v>10000.0</v>
      </c>
      <c r="F61" s="34">
        <v>10000.0</v>
      </c>
      <c r="G61" s="34">
        <v>10000.0</v>
      </c>
      <c r="H61" s="34">
        <v>10000.0</v>
      </c>
      <c r="I61" s="34">
        <v>10000.0</v>
      </c>
      <c r="J61" s="34">
        <v>10000.0</v>
      </c>
      <c r="K61" s="34">
        <v>10000.0</v>
      </c>
      <c r="L61" s="34">
        <v>10000.0</v>
      </c>
      <c r="M61" s="34">
        <v>10000.0</v>
      </c>
      <c r="N61" s="34">
        <v>10000.0</v>
      </c>
    </row>
    <row r="62">
      <c r="B62" s="30" t="s">
        <v>187</v>
      </c>
      <c r="C62" s="34">
        <v>5000.0</v>
      </c>
      <c r="D62" s="34">
        <v>15000.0</v>
      </c>
      <c r="E62" s="34">
        <v>15000.0</v>
      </c>
      <c r="F62" s="34">
        <v>5000.0</v>
      </c>
      <c r="G62" s="34">
        <v>5000.0</v>
      </c>
      <c r="H62" s="34">
        <v>5000.0</v>
      </c>
      <c r="I62" s="34"/>
      <c r="J62" s="34"/>
      <c r="K62" s="34"/>
      <c r="L62" s="34"/>
      <c r="M62" s="34"/>
      <c r="N62" s="34"/>
    </row>
    <row r="63">
      <c r="B63" s="30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5">
      <c r="B65" s="48" t="s">
        <v>188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</row>
    <row r="66">
      <c r="B66" s="30" t="s">
        <v>76</v>
      </c>
      <c r="C66" s="29" t="s">
        <v>77</v>
      </c>
      <c r="D66" s="7"/>
      <c r="E66" s="8"/>
      <c r="F66" s="29" t="s">
        <v>78</v>
      </c>
      <c r="G66" s="7"/>
      <c r="H66" s="8"/>
      <c r="I66" s="29" t="s">
        <v>79</v>
      </c>
      <c r="J66" s="7"/>
      <c r="K66" s="8"/>
      <c r="L66" s="29" t="s">
        <v>80</v>
      </c>
      <c r="M66" s="7"/>
      <c r="N66" s="8"/>
    </row>
    <row r="67">
      <c r="B67" s="30" t="s">
        <v>141</v>
      </c>
      <c r="C67" s="13" t="s">
        <v>81</v>
      </c>
      <c r="D67" s="13" t="s">
        <v>82</v>
      </c>
      <c r="E67" s="13" t="s">
        <v>83</v>
      </c>
      <c r="F67" s="13" t="s">
        <v>84</v>
      </c>
      <c r="G67" s="13" t="s">
        <v>85</v>
      </c>
      <c r="H67" s="13" t="s">
        <v>86</v>
      </c>
      <c r="I67" s="13" t="s">
        <v>87</v>
      </c>
      <c r="J67" s="13" t="s">
        <v>88</v>
      </c>
      <c r="K67" s="13" t="s">
        <v>89</v>
      </c>
      <c r="L67" s="13" t="s">
        <v>90</v>
      </c>
      <c r="M67" s="13" t="s">
        <v>91</v>
      </c>
      <c r="N67" s="13" t="s">
        <v>92</v>
      </c>
    </row>
    <row r="68">
      <c r="B68" s="12" t="s">
        <v>189</v>
      </c>
      <c r="C68" s="49">
        <f t="shared" ref="C68:N68" si="16">SUM(C69:C75)</f>
        <v>13336</v>
      </c>
      <c r="D68" s="49">
        <f t="shared" si="16"/>
        <v>17336</v>
      </c>
      <c r="E68" s="49">
        <f t="shared" si="16"/>
        <v>17336</v>
      </c>
      <c r="F68" s="49">
        <f t="shared" si="16"/>
        <v>17836</v>
      </c>
      <c r="G68" s="49">
        <f t="shared" si="16"/>
        <v>17836</v>
      </c>
      <c r="H68" s="49">
        <f t="shared" si="16"/>
        <v>17836</v>
      </c>
      <c r="I68" s="49">
        <f t="shared" si="16"/>
        <v>18336</v>
      </c>
      <c r="J68" s="49">
        <f t="shared" si="16"/>
        <v>18336</v>
      </c>
      <c r="K68" s="49">
        <f t="shared" si="16"/>
        <v>18336</v>
      </c>
      <c r="L68" s="49">
        <f t="shared" si="16"/>
        <v>18836</v>
      </c>
      <c r="M68" s="49">
        <f t="shared" si="16"/>
        <v>18836</v>
      </c>
      <c r="N68" s="49">
        <f t="shared" si="16"/>
        <v>18836</v>
      </c>
    </row>
    <row r="69">
      <c r="B69" s="30" t="s">
        <v>190</v>
      </c>
      <c r="C69" s="34">
        <v>1500.0</v>
      </c>
      <c r="D69" s="34">
        <v>1500.0</v>
      </c>
      <c r="E69" s="34">
        <v>1500.0</v>
      </c>
      <c r="F69" s="34">
        <v>2000.0</v>
      </c>
      <c r="G69" s="34">
        <v>2000.0</v>
      </c>
      <c r="H69" s="34">
        <v>2000.0</v>
      </c>
      <c r="I69" s="34">
        <v>2500.0</v>
      </c>
      <c r="J69" s="34">
        <v>2500.0</v>
      </c>
      <c r="K69" s="34">
        <v>2500.0</v>
      </c>
      <c r="L69" s="34">
        <v>3000.0</v>
      </c>
      <c r="M69" s="34">
        <v>3000.0</v>
      </c>
      <c r="N69" s="34">
        <v>3000.0</v>
      </c>
    </row>
    <row r="70">
      <c r="B70" s="30" t="s">
        <v>191</v>
      </c>
      <c r="C70" s="34">
        <v>2500.0</v>
      </c>
      <c r="D70" s="34">
        <v>2500.0</v>
      </c>
      <c r="E70" s="34">
        <v>2500.0</v>
      </c>
      <c r="F70" s="34">
        <v>2500.0</v>
      </c>
      <c r="G70" s="34">
        <v>2500.0</v>
      </c>
      <c r="H70" s="34">
        <v>2500.0</v>
      </c>
      <c r="I70" s="34">
        <v>2500.0</v>
      </c>
      <c r="J70" s="34">
        <v>2500.0</v>
      </c>
      <c r="K70" s="34">
        <v>2500.0</v>
      </c>
      <c r="L70" s="34">
        <v>2500.0</v>
      </c>
      <c r="M70" s="34">
        <v>2500.0</v>
      </c>
      <c r="N70" s="34">
        <v>2500.0</v>
      </c>
    </row>
    <row r="71">
      <c r="B71" s="30" t="s">
        <v>192</v>
      </c>
      <c r="C71" s="34">
        <f t="shared" ref="C71:N71" si="17">3840+1496</f>
        <v>5336</v>
      </c>
      <c r="D71" s="34">
        <f t="shared" si="17"/>
        <v>5336</v>
      </c>
      <c r="E71" s="34">
        <f t="shared" si="17"/>
        <v>5336</v>
      </c>
      <c r="F71" s="34">
        <f t="shared" si="17"/>
        <v>5336</v>
      </c>
      <c r="G71" s="34">
        <f t="shared" si="17"/>
        <v>5336</v>
      </c>
      <c r="H71" s="34">
        <f t="shared" si="17"/>
        <v>5336</v>
      </c>
      <c r="I71" s="34">
        <f t="shared" si="17"/>
        <v>5336</v>
      </c>
      <c r="J71" s="34">
        <f t="shared" si="17"/>
        <v>5336</v>
      </c>
      <c r="K71" s="34">
        <f t="shared" si="17"/>
        <v>5336</v>
      </c>
      <c r="L71" s="34">
        <f t="shared" si="17"/>
        <v>5336</v>
      </c>
      <c r="M71" s="34">
        <f t="shared" si="17"/>
        <v>5336</v>
      </c>
      <c r="N71" s="34">
        <f t="shared" si="17"/>
        <v>5336</v>
      </c>
    </row>
    <row r="72">
      <c r="B72" s="30" t="s">
        <v>193</v>
      </c>
      <c r="C72" s="34">
        <v>3000.0</v>
      </c>
      <c r="D72" s="34">
        <v>3000.0</v>
      </c>
      <c r="E72" s="34">
        <v>3000.0</v>
      </c>
      <c r="F72" s="34">
        <v>3000.0</v>
      </c>
      <c r="G72" s="34">
        <v>3000.0</v>
      </c>
      <c r="H72" s="34">
        <v>3000.0</v>
      </c>
      <c r="I72" s="34">
        <v>3000.0</v>
      </c>
      <c r="J72" s="34">
        <v>3000.0</v>
      </c>
      <c r="K72" s="34">
        <v>3000.0</v>
      </c>
      <c r="L72" s="34">
        <v>3000.0</v>
      </c>
      <c r="M72" s="34">
        <v>3000.0</v>
      </c>
      <c r="N72" s="34">
        <v>3000.0</v>
      </c>
    </row>
    <row r="73">
      <c r="B73" s="30" t="s">
        <v>194</v>
      </c>
      <c r="C73" s="34">
        <v>1000.0</v>
      </c>
      <c r="D73" s="34">
        <v>1000.0</v>
      </c>
      <c r="E73" s="34">
        <v>1000.0</v>
      </c>
      <c r="F73" s="34">
        <v>1000.0</v>
      </c>
      <c r="G73" s="34">
        <v>1000.0</v>
      </c>
      <c r="H73" s="34">
        <v>1000.0</v>
      </c>
      <c r="I73" s="34">
        <v>1000.0</v>
      </c>
      <c r="J73" s="34">
        <v>1000.0</v>
      </c>
      <c r="K73" s="34">
        <v>1000.0</v>
      </c>
      <c r="L73" s="34">
        <v>1000.0</v>
      </c>
      <c r="M73" s="34">
        <v>1000.0</v>
      </c>
      <c r="N73" s="34">
        <v>1000.0</v>
      </c>
    </row>
    <row r="74">
      <c r="B74" s="30" t="s">
        <v>195</v>
      </c>
      <c r="C74" s="34"/>
      <c r="D74" s="34">
        <v>4000.0</v>
      </c>
      <c r="E74" s="34">
        <v>4000.0</v>
      </c>
      <c r="F74" s="34">
        <v>4000.0</v>
      </c>
      <c r="G74" s="34">
        <v>4000.0</v>
      </c>
      <c r="H74" s="34">
        <v>4000.0</v>
      </c>
      <c r="I74" s="34">
        <v>4000.0</v>
      </c>
      <c r="J74" s="34">
        <v>4000.0</v>
      </c>
      <c r="K74" s="34">
        <v>4000.0</v>
      </c>
      <c r="L74" s="34">
        <v>4000.0</v>
      </c>
      <c r="M74" s="34">
        <v>4000.0</v>
      </c>
      <c r="N74" s="34">
        <v>4000.0</v>
      </c>
    </row>
    <row r="75">
      <c r="B75" s="30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</sheetData>
  <mergeCells count="30">
    <mergeCell ref="F17:H17"/>
    <mergeCell ref="I17:K17"/>
    <mergeCell ref="B2:N2"/>
    <mergeCell ref="C3:E3"/>
    <mergeCell ref="F3:H3"/>
    <mergeCell ref="I3:K3"/>
    <mergeCell ref="L3:N3"/>
    <mergeCell ref="B16:N16"/>
    <mergeCell ref="C17:E17"/>
    <mergeCell ref="L17:N17"/>
    <mergeCell ref="B24:N24"/>
    <mergeCell ref="C25:E25"/>
    <mergeCell ref="F25:H25"/>
    <mergeCell ref="I25:K25"/>
    <mergeCell ref="L25:N25"/>
    <mergeCell ref="B39:N39"/>
    <mergeCell ref="I55:K55"/>
    <mergeCell ref="L55:N55"/>
    <mergeCell ref="B65:N65"/>
    <mergeCell ref="C66:E66"/>
    <mergeCell ref="F66:H66"/>
    <mergeCell ref="I66:K66"/>
    <mergeCell ref="L66:N66"/>
    <mergeCell ref="C40:E40"/>
    <mergeCell ref="F40:H40"/>
    <mergeCell ref="I40:K40"/>
    <mergeCell ref="L40:N40"/>
    <mergeCell ref="B54:N54"/>
    <mergeCell ref="C55:E55"/>
    <mergeCell ref="F55:H55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1.38"/>
    <col customWidth="1" min="3" max="3" width="27.13"/>
  </cols>
  <sheetData>
    <row r="1" ht="12.0" customHeight="1"/>
    <row r="2">
      <c r="B2" s="11"/>
      <c r="C2" s="28" t="s">
        <v>196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C3" s="12" t="s">
        <v>141</v>
      </c>
      <c r="D3" s="31" t="s">
        <v>81</v>
      </c>
      <c r="E3" s="31" t="s">
        <v>82</v>
      </c>
      <c r="F3" s="31" t="s">
        <v>83</v>
      </c>
      <c r="G3" s="31" t="s">
        <v>84</v>
      </c>
      <c r="H3" s="31" t="s">
        <v>85</v>
      </c>
      <c r="I3" s="31" t="s">
        <v>86</v>
      </c>
      <c r="J3" s="31" t="s">
        <v>87</v>
      </c>
      <c r="K3" s="31" t="s">
        <v>88</v>
      </c>
      <c r="L3" s="31" t="s">
        <v>89</v>
      </c>
      <c r="M3" s="31" t="s">
        <v>90</v>
      </c>
      <c r="N3" s="31" t="s">
        <v>91</v>
      </c>
      <c r="O3" s="31" t="s">
        <v>92</v>
      </c>
    </row>
    <row r="4">
      <c r="C4" s="12" t="s">
        <v>197</v>
      </c>
      <c r="D4" s="49">
        <f t="shared" ref="D4:O4" si="1">D24+D96+D152+D213+D236+D124+D182+D64+D265+D295+D322+D342</f>
        <v>345754.4</v>
      </c>
      <c r="E4" s="49">
        <f t="shared" si="1"/>
        <v>380706.304</v>
      </c>
      <c r="F4" s="49">
        <f t="shared" si="1"/>
        <v>399437.5366</v>
      </c>
      <c r="G4" s="49">
        <f t="shared" si="1"/>
        <v>465597.9583</v>
      </c>
      <c r="H4" s="49">
        <f t="shared" si="1"/>
        <v>488400.6421</v>
      </c>
      <c r="I4" s="49">
        <f t="shared" si="1"/>
        <v>495996.0843</v>
      </c>
      <c r="J4" s="49">
        <f t="shared" si="1"/>
        <v>557632.9367</v>
      </c>
      <c r="K4" s="49">
        <f t="shared" si="1"/>
        <v>583914.1724</v>
      </c>
      <c r="L4" s="49">
        <f t="shared" si="1"/>
        <v>598990.0969</v>
      </c>
      <c r="M4" s="49">
        <f t="shared" si="1"/>
        <v>647359.1882</v>
      </c>
      <c r="N4" s="49">
        <f t="shared" si="1"/>
        <v>662874.2612</v>
      </c>
      <c r="O4" s="49">
        <f t="shared" si="1"/>
        <v>687435.4777</v>
      </c>
    </row>
    <row r="5">
      <c r="C5" s="12" t="s">
        <v>198</v>
      </c>
      <c r="D5" s="45">
        <f t="shared" ref="D5:O5" si="2">D15+D144+D205+D228+D88+D117+D175+D57+D258+D313</f>
        <v>67</v>
      </c>
      <c r="E5" s="45">
        <f t="shared" si="2"/>
        <v>73</v>
      </c>
      <c r="F5" s="45">
        <f t="shared" si="2"/>
        <v>76</v>
      </c>
      <c r="G5" s="45">
        <f t="shared" si="2"/>
        <v>86</v>
      </c>
      <c r="H5" s="45">
        <f t="shared" si="2"/>
        <v>89</v>
      </c>
      <c r="I5" s="45">
        <f t="shared" si="2"/>
        <v>90</v>
      </c>
      <c r="J5" s="45">
        <f t="shared" si="2"/>
        <v>95</v>
      </c>
      <c r="K5" s="45">
        <f t="shared" si="2"/>
        <v>99</v>
      </c>
      <c r="L5" s="45">
        <f t="shared" si="2"/>
        <v>101</v>
      </c>
      <c r="M5" s="45">
        <f t="shared" si="2"/>
        <v>107</v>
      </c>
      <c r="N5" s="45">
        <f t="shared" si="2"/>
        <v>110</v>
      </c>
      <c r="O5" s="45">
        <f t="shared" si="2"/>
        <v>112</v>
      </c>
    </row>
    <row r="6">
      <c r="C6" s="12" t="s">
        <v>199</v>
      </c>
      <c r="D6" s="45">
        <f t="shared" ref="D6:O6" si="3">D286</f>
        <v>6</v>
      </c>
      <c r="E6" s="45">
        <f t="shared" si="3"/>
        <v>7</v>
      </c>
      <c r="F6" s="45">
        <f t="shared" si="3"/>
        <v>7</v>
      </c>
      <c r="G6" s="45">
        <f t="shared" si="3"/>
        <v>7</v>
      </c>
      <c r="H6" s="45">
        <f t="shared" si="3"/>
        <v>8</v>
      </c>
      <c r="I6" s="45">
        <f t="shared" si="3"/>
        <v>8</v>
      </c>
      <c r="J6" s="45">
        <f t="shared" si="3"/>
        <v>9</v>
      </c>
      <c r="K6" s="45">
        <f t="shared" si="3"/>
        <v>9</v>
      </c>
      <c r="L6" s="45">
        <f t="shared" si="3"/>
        <v>9</v>
      </c>
      <c r="M6" s="45">
        <f t="shared" si="3"/>
        <v>9</v>
      </c>
      <c r="N6" s="45">
        <f t="shared" si="3"/>
        <v>9</v>
      </c>
      <c r="O6" s="45">
        <f t="shared" si="3"/>
        <v>10</v>
      </c>
    </row>
    <row r="7">
      <c r="C7" s="12" t="s">
        <v>142</v>
      </c>
      <c r="D7" s="45">
        <f t="shared" ref="D7:O7" si="4">D5+D6</f>
        <v>73</v>
      </c>
      <c r="E7" s="45">
        <f t="shared" si="4"/>
        <v>80</v>
      </c>
      <c r="F7" s="45">
        <f t="shared" si="4"/>
        <v>83</v>
      </c>
      <c r="G7" s="45">
        <f t="shared" si="4"/>
        <v>93</v>
      </c>
      <c r="H7" s="45">
        <f t="shared" si="4"/>
        <v>97</v>
      </c>
      <c r="I7" s="45">
        <f t="shared" si="4"/>
        <v>98</v>
      </c>
      <c r="J7" s="45">
        <f t="shared" si="4"/>
        <v>104</v>
      </c>
      <c r="K7" s="45">
        <f t="shared" si="4"/>
        <v>108</v>
      </c>
      <c r="L7" s="45">
        <f t="shared" si="4"/>
        <v>110</v>
      </c>
      <c r="M7" s="45">
        <f t="shared" si="4"/>
        <v>116</v>
      </c>
      <c r="N7" s="45">
        <f t="shared" si="4"/>
        <v>119</v>
      </c>
      <c r="O7" s="45">
        <f t="shared" si="4"/>
        <v>122</v>
      </c>
    </row>
    <row r="9">
      <c r="B9" s="57" t="s">
        <v>200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>
      <c r="B10" s="30" t="s">
        <v>141</v>
      </c>
      <c r="C10" s="13" t="s">
        <v>92</v>
      </c>
      <c r="D10" s="13" t="s">
        <v>81</v>
      </c>
      <c r="E10" s="13" t="s">
        <v>82</v>
      </c>
      <c r="F10" s="13" t="s">
        <v>83</v>
      </c>
      <c r="G10" s="13" t="s">
        <v>84</v>
      </c>
      <c r="H10" s="13" t="s">
        <v>85</v>
      </c>
      <c r="I10" s="13" t="s">
        <v>86</v>
      </c>
      <c r="J10" s="13" t="s">
        <v>87</v>
      </c>
      <c r="K10" s="13" t="s">
        <v>88</v>
      </c>
      <c r="L10" s="13" t="s">
        <v>89</v>
      </c>
      <c r="M10" s="13" t="s">
        <v>90</v>
      </c>
      <c r="N10" s="13" t="s">
        <v>91</v>
      </c>
      <c r="O10" s="13" t="s">
        <v>92</v>
      </c>
    </row>
    <row r="11">
      <c r="B11" s="30" t="s">
        <v>201</v>
      </c>
      <c r="C11" s="34">
        <f>Revenue!C7</f>
        <v>475000</v>
      </c>
      <c r="D11" s="34">
        <f>Revenue!D7</f>
        <v>496750</v>
      </c>
      <c r="E11" s="34">
        <f>Revenue!E7</f>
        <v>516542.5</v>
      </c>
      <c r="F11" s="34">
        <f>Revenue!F7</f>
        <v>534553.675</v>
      </c>
      <c r="G11" s="34">
        <f>Revenue!G7</f>
        <v>558443.8443</v>
      </c>
      <c r="H11" s="34">
        <f>Revenue!H7</f>
        <v>580183.8983</v>
      </c>
      <c r="I11" s="34">
        <f>Revenue!I7</f>
        <v>599967.3474</v>
      </c>
      <c r="J11" s="34">
        <f>Revenue!J7</f>
        <v>626970.2862</v>
      </c>
      <c r="K11" s="34">
        <f>Revenue!K7</f>
        <v>651542.9604</v>
      </c>
      <c r="L11" s="34">
        <f>Revenue!L7</f>
        <v>673904.094</v>
      </c>
      <c r="M11" s="34">
        <f>Revenue!M7</f>
        <v>703252.7255</v>
      </c>
      <c r="N11" s="34">
        <f>Revenue!N7</f>
        <v>729959.9802</v>
      </c>
      <c r="O11" s="34">
        <f>Revenue!O7</f>
        <v>754263.582</v>
      </c>
      <c r="P11" s="37">
        <f>SUM(D11:O11)</f>
        <v>7426334.893</v>
      </c>
    </row>
    <row r="12">
      <c r="B12" s="30" t="s">
        <v>202</v>
      </c>
      <c r="C12" s="45">
        <f>Revenue!C9</f>
        <v>176</v>
      </c>
      <c r="D12" s="45">
        <f>Revenue!D9</f>
        <v>181.8500927</v>
      </c>
      <c r="E12" s="45">
        <f>Revenue!E9</f>
        <v>187.1518312</v>
      </c>
      <c r="F12" s="45">
        <f>Revenue!F9</f>
        <v>191.9577366</v>
      </c>
      <c r="G12" s="45">
        <f>Revenue!G9</f>
        <v>198.8286834</v>
      </c>
      <c r="H12" s="45">
        <f>Revenue!H9</f>
        <v>205.0644405</v>
      </c>
      <c r="I12" s="45">
        <f>Revenue!I9</f>
        <v>210.7245903</v>
      </c>
      <c r="J12" s="45">
        <f>Revenue!J9</f>
        <v>218.8743043</v>
      </c>
      <c r="K12" s="45">
        <f>Revenue!K9</f>
        <v>226.277395</v>
      </c>
      <c r="L12" s="45">
        <f>Revenue!L9</f>
        <v>233.0029536</v>
      </c>
      <c r="M12" s="45">
        <f>Revenue!M9</f>
        <v>242.1214199</v>
      </c>
      <c r="N12" s="45">
        <f>Revenue!N9</f>
        <v>250.409157</v>
      </c>
      <c r="O12" s="45">
        <f>Revenue!O9</f>
        <v>257.9423634</v>
      </c>
    </row>
    <row r="13">
      <c r="B13" s="30" t="s">
        <v>203</v>
      </c>
      <c r="C13" s="42">
        <v>12.0</v>
      </c>
      <c r="D13" s="42">
        <v>12.0</v>
      </c>
      <c r="E13" s="42">
        <v>12.0</v>
      </c>
      <c r="F13" s="42">
        <v>12.0</v>
      </c>
      <c r="G13" s="42">
        <v>12.0</v>
      </c>
      <c r="H13" s="42">
        <v>12.0</v>
      </c>
      <c r="I13" s="42">
        <v>12.0</v>
      </c>
      <c r="J13" s="42">
        <v>12.0</v>
      </c>
      <c r="K13" s="42">
        <v>12.0</v>
      </c>
      <c r="L13" s="42">
        <v>12.0</v>
      </c>
      <c r="M13" s="42">
        <v>12.0</v>
      </c>
      <c r="N13" s="42">
        <v>12.0</v>
      </c>
      <c r="O13" s="42">
        <v>12.0</v>
      </c>
    </row>
    <row r="14">
      <c r="B14" s="30" t="s">
        <v>204</v>
      </c>
      <c r="C14" s="42">
        <f t="shared" ref="C14:O14" si="5">C12/C13</f>
        <v>14.66666667</v>
      </c>
      <c r="D14" s="42">
        <f t="shared" si="5"/>
        <v>15.15417439</v>
      </c>
      <c r="E14" s="42">
        <f t="shared" si="5"/>
        <v>15.59598593</v>
      </c>
      <c r="F14" s="42">
        <f t="shared" si="5"/>
        <v>15.99647805</v>
      </c>
      <c r="G14" s="42">
        <f t="shared" si="5"/>
        <v>16.56905695</v>
      </c>
      <c r="H14" s="42">
        <f t="shared" si="5"/>
        <v>17.08870337</v>
      </c>
      <c r="I14" s="42">
        <f t="shared" si="5"/>
        <v>17.56038252</v>
      </c>
      <c r="J14" s="42">
        <f t="shared" si="5"/>
        <v>18.23952535</v>
      </c>
      <c r="K14" s="42">
        <f t="shared" si="5"/>
        <v>18.85644958</v>
      </c>
      <c r="L14" s="42">
        <f t="shared" si="5"/>
        <v>19.4169128</v>
      </c>
      <c r="M14" s="42">
        <f t="shared" si="5"/>
        <v>20.17678499</v>
      </c>
      <c r="N14" s="42">
        <f t="shared" si="5"/>
        <v>20.86742975</v>
      </c>
      <c r="O14" s="42">
        <f t="shared" si="5"/>
        <v>21.49519695</v>
      </c>
    </row>
    <row r="15">
      <c r="B15" s="30" t="s">
        <v>205</v>
      </c>
      <c r="C15" s="13">
        <v>15.0</v>
      </c>
      <c r="D15" s="45">
        <f t="shared" ref="D15:O15" si="6">count(D25:D50)</f>
        <v>17</v>
      </c>
      <c r="E15" s="45">
        <f t="shared" si="6"/>
        <v>19</v>
      </c>
      <c r="F15" s="45">
        <f t="shared" si="6"/>
        <v>20</v>
      </c>
      <c r="G15" s="45">
        <f t="shared" si="6"/>
        <v>20</v>
      </c>
      <c r="H15" s="45">
        <f t="shared" si="6"/>
        <v>21</v>
      </c>
      <c r="I15" s="45">
        <f t="shared" si="6"/>
        <v>21</v>
      </c>
      <c r="J15" s="45">
        <f t="shared" si="6"/>
        <v>22</v>
      </c>
      <c r="K15" s="45">
        <f t="shared" si="6"/>
        <v>22</v>
      </c>
      <c r="L15" s="45">
        <f t="shared" si="6"/>
        <v>23</v>
      </c>
      <c r="M15" s="45">
        <f t="shared" si="6"/>
        <v>24</v>
      </c>
      <c r="N15" s="45">
        <f t="shared" si="6"/>
        <v>24</v>
      </c>
      <c r="O15" s="45">
        <f t="shared" si="6"/>
        <v>25</v>
      </c>
    </row>
    <row r="16">
      <c r="B16" s="30" t="s">
        <v>206</v>
      </c>
      <c r="C16" s="45">
        <f t="shared" ref="C16:O16" si="7">C14-C15</f>
        <v>-0.3333333333</v>
      </c>
      <c r="D16" s="58">
        <f t="shared" si="7"/>
        <v>-1.84582561</v>
      </c>
      <c r="E16" s="58">
        <f t="shared" si="7"/>
        <v>-3.404014069</v>
      </c>
      <c r="F16" s="58">
        <f t="shared" si="7"/>
        <v>-4.003521953</v>
      </c>
      <c r="G16" s="58">
        <f t="shared" si="7"/>
        <v>-3.430943051</v>
      </c>
      <c r="H16" s="58">
        <f t="shared" si="7"/>
        <v>-3.911296627</v>
      </c>
      <c r="I16" s="58">
        <f t="shared" si="7"/>
        <v>-3.439617477</v>
      </c>
      <c r="J16" s="58">
        <f t="shared" si="7"/>
        <v>-3.760474645</v>
      </c>
      <c r="K16" s="58">
        <f t="shared" si="7"/>
        <v>-3.143550418</v>
      </c>
      <c r="L16" s="58">
        <f t="shared" si="7"/>
        <v>-3.583087202</v>
      </c>
      <c r="M16" s="58">
        <f t="shared" si="7"/>
        <v>-3.823215006</v>
      </c>
      <c r="N16" s="58">
        <f t="shared" si="7"/>
        <v>-3.132570248</v>
      </c>
      <c r="O16" s="58">
        <f t="shared" si="7"/>
        <v>-3.504803049</v>
      </c>
    </row>
    <row r="17">
      <c r="B17" s="30" t="s">
        <v>207</v>
      </c>
      <c r="C17" s="44">
        <f t="shared" ref="C17:O17" si="8">C12/C15</f>
        <v>11.73333333</v>
      </c>
      <c r="D17" s="45">
        <f t="shared" si="8"/>
        <v>10.69706428</v>
      </c>
      <c r="E17" s="45">
        <f t="shared" si="8"/>
        <v>9.850096378</v>
      </c>
      <c r="F17" s="45">
        <f t="shared" si="8"/>
        <v>9.597886828</v>
      </c>
      <c r="G17" s="45">
        <f t="shared" si="8"/>
        <v>9.941434169</v>
      </c>
      <c r="H17" s="45">
        <f t="shared" si="8"/>
        <v>9.764973356</v>
      </c>
      <c r="I17" s="45">
        <f t="shared" si="8"/>
        <v>10.0345043</v>
      </c>
      <c r="J17" s="45">
        <f t="shared" si="8"/>
        <v>9.948832012</v>
      </c>
      <c r="K17" s="45">
        <f t="shared" si="8"/>
        <v>10.28533614</v>
      </c>
      <c r="L17" s="45">
        <f t="shared" si="8"/>
        <v>10.1305632</v>
      </c>
      <c r="M17" s="45">
        <f t="shared" si="8"/>
        <v>10.0883925</v>
      </c>
      <c r="N17" s="45">
        <f t="shared" si="8"/>
        <v>10.43371488</v>
      </c>
      <c r="O17" s="45">
        <f t="shared" si="8"/>
        <v>10.31769454</v>
      </c>
    </row>
    <row r="18">
      <c r="B18" s="30" t="s">
        <v>208</v>
      </c>
      <c r="C18" s="35">
        <f t="shared" ref="C18:O18" si="9">C11/C15</f>
        <v>31666.66667</v>
      </c>
      <c r="D18" s="45">
        <f t="shared" si="9"/>
        <v>29220.58824</v>
      </c>
      <c r="E18" s="45">
        <f t="shared" si="9"/>
        <v>27186.44737</v>
      </c>
      <c r="F18" s="45">
        <f t="shared" si="9"/>
        <v>26727.68375</v>
      </c>
      <c r="G18" s="45">
        <f t="shared" si="9"/>
        <v>27922.19221</v>
      </c>
      <c r="H18" s="45">
        <f t="shared" si="9"/>
        <v>27627.80468</v>
      </c>
      <c r="I18" s="45">
        <f t="shared" si="9"/>
        <v>28569.87369</v>
      </c>
      <c r="J18" s="45">
        <f t="shared" si="9"/>
        <v>28498.64937</v>
      </c>
      <c r="K18" s="45">
        <f t="shared" si="9"/>
        <v>29615.58911</v>
      </c>
      <c r="L18" s="45">
        <f t="shared" si="9"/>
        <v>29300.178</v>
      </c>
      <c r="M18" s="45">
        <f t="shared" si="9"/>
        <v>29302.1969</v>
      </c>
      <c r="N18" s="45">
        <f t="shared" si="9"/>
        <v>30414.99918</v>
      </c>
      <c r="O18" s="45">
        <f t="shared" si="9"/>
        <v>30170.54328</v>
      </c>
      <c r="P18" s="39"/>
    </row>
    <row r="19">
      <c r="B19" s="30" t="s">
        <v>140</v>
      </c>
      <c r="C19" s="55"/>
      <c r="D19" s="38">
        <f t="shared" ref="D19:O19" si="10">(D24+D64)/D11</f>
        <v>0.1930548566</v>
      </c>
      <c r="E19" s="38">
        <f t="shared" si="10"/>
        <v>0.2059849867</v>
      </c>
      <c r="F19" s="38">
        <f t="shared" si="10"/>
        <v>0.2102688752</v>
      </c>
      <c r="G19" s="38">
        <f t="shared" si="10"/>
        <v>0.2169421353</v>
      </c>
      <c r="H19" s="38">
        <f t="shared" si="10"/>
        <v>0.2200164472</v>
      </c>
      <c r="I19" s="38">
        <f t="shared" si="10"/>
        <v>0.2152617147</v>
      </c>
      <c r="J19" s="38">
        <f t="shared" si="10"/>
        <v>0.2247315433</v>
      </c>
      <c r="K19" s="38">
        <f t="shared" si="10"/>
        <v>0.233138886</v>
      </c>
      <c r="L19" s="38">
        <f t="shared" si="10"/>
        <v>0.2343063374</v>
      </c>
      <c r="M19" s="38">
        <f t="shared" si="10"/>
        <v>0.2405251965</v>
      </c>
      <c r="N19" s="38">
        <f t="shared" si="10"/>
        <v>0.2344649085</v>
      </c>
      <c r="O19" s="38">
        <f t="shared" si="10"/>
        <v>0.2421567266</v>
      </c>
      <c r="P19" s="26"/>
    </row>
    <row r="20"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>
      <c r="C21" s="57" t="s">
        <v>209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>
      <c r="C22" s="12" t="s">
        <v>76</v>
      </c>
      <c r="D22" s="59" t="s">
        <v>77</v>
      </c>
      <c r="E22" s="7"/>
      <c r="F22" s="8"/>
      <c r="G22" s="59" t="s">
        <v>78</v>
      </c>
      <c r="H22" s="7"/>
      <c r="I22" s="8"/>
      <c r="J22" s="59" t="s">
        <v>79</v>
      </c>
      <c r="K22" s="7"/>
      <c r="L22" s="8"/>
      <c r="M22" s="59" t="s">
        <v>80</v>
      </c>
      <c r="N22" s="7"/>
      <c r="O22" s="8"/>
    </row>
    <row r="23">
      <c r="C23" s="12" t="s">
        <v>141</v>
      </c>
      <c r="D23" s="31" t="s">
        <v>81</v>
      </c>
      <c r="E23" s="31" t="s">
        <v>82</v>
      </c>
      <c r="F23" s="31" t="s">
        <v>83</v>
      </c>
      <c r="G23" s="31" t="s">
        <v>84</v>
      </c>
      <c r="H23" s="31" t="s">
        <v>85</v>
      </c>
      <c r="I23" s="31" t="s">
        <v>86</v>
      </c>
      <c r="J23" s="31" t="s">
        <v>87</v>
      </c>
      <c r="K23" s="31" t="s">
        <v>88</v>
      </c>
      <c r="L23" s="31" t="s">
        <v>89</v>
      </c>
      <c r="M23" s="31" t="s">
        <v>90</v>
      </c>
      <c r="N23" s="31" t="s">
        <v>91</v>
      </c>
      <c r="O23" s="31" t="s">
        <v>92</v>
      </c>
      <c r="P23" s="39">
        <f>O24/O11</f>
        <v>0.1785184957</v>
      </c>
    </row>
    <row r="24">
      <c r="C24" s="12" t="s">
        <v>210</v>
      </c>
      <c r="D24" s="49">
        <f t="shared" ref="D24:O24" si="11">SUM(D25:D50)</f>
        <v>66650</v>
      </c>
      <c r="E24" s="49">
        <f t="shared" si="11"/>
        <v>76650</v>
      </c>
      <c r="F24" s="49">
        <f t="shared" si="11"/>
        <v>82650</v>
      </c>
      <c r="G24" s="49">
        <f t="shared" si="11"/>
        <v>87650</v>
      </c>
      <c r="H24" s="49">
        <f t="shared" si="11"/>
        <v>94150</v>
      </c>
      <c r="I24" s="49">
        <f t="shared" si="11"/>
        <v>95650</v>
      </c>
      <c r="J24" s="49">
        <f t="shared" si="11"/>
        <v>105650</v>
      </c>
      <c r="K24" s="49">
        <f t="shared" si="11"/>
        <v>110150</v>
      </c>
      <c r="L24" s="49">
        <f t="shared" si="11"/>
        <v>116150</v>
      </c>
      <c r="M24" s="49">
        <f t="shared" si="11"/>
        <v>127150</v>
      </c>
      <c r="N24" s="49">
        <f t="shared" si="11"/>
        <v>129150</v>
      </c>
      <c r="O24" s="49">
        <f t="shared" si="11"/>
        <v>134650</v>
      </c>
      <c r="P24" s="37">
        <f>SUM(D24:O24)</f>
        <v>1226300</v>
      </c>
    </row>
    <row r="25">
      <c r="C25" s="60" t="s">
        <v>211</v>
      </c>
      <c r="D25" s="61">
        <v>2000.0</v>
      </c>
      <c r="E25" s="61">
        <v>2000.0</v>
      </c>
      <c r="F25" s="61">
        <v>2000.0</v>
      </c>
      <c r="G25" s="61">
        <v>2000.0</v>
      </c>
      <c r="H25" s="61">
        <v>2500.0</v>
      </c>
      <c r="I25" s="61">
        <v>2500.0</v>
      </c>
      <c r="J25" s="61">
        <v>2500.0</v>
      </c>
      <c r="K25" s="61">
        <v>3000.0</v>
      </c>
      <c r="L25" s="61">
        <v>3000.0</v>
      </c>
      <c r="M25" s="61">
        <v>3000.0</v>
      </c>
      <c r="N25" s="61">
        <v>3500.0</v>
      </c>
      <c r="O25" s="61">
        <v>3500.0</v>
      </c>
    </row>
    <row r="26">
      <c r="C26" s="60" t="s">
        <v>212</v>
      </c>
      <c r="D26" s="61">
        <v>3000.0</v>
      </c>
      <c r="E26" s="61">
        <v>3000.0</v>
      </c>
      <c r="F26" s="61">
        <v>3000.0</v>
      </c>
      <c r="G26" s="61">
        <v>3500.0</v>
      </c>
      <c r="H26" s="61">
        <v>3500.0</v>
      </c>
      <c r="I26" s="61">
        <v>3500.0</v>
      </c>
      <c r="J26" s="61">
        <v>4000.0</v>
      </c>
      <c r="K26" s="61">
        <v>4000.0</v>
      </c>
      <c r="L26" s="61">
        <v>4000.0</v>
      </c>
      <c r="M26" s="61">
        <v>4500.0</v>
      </c>
      <c r="N26" s="61">
        <v>4500.0</v>
      </c>
      <c r="O26" s="61">
        <v>4500.0</v>
      </c>
    </row>
    <row r="27">
      <c r="C27" s="60" t="s">
        <v>213</v>
      </c>
      <c r="D27" s="61">
        <v>3000.0</v>
      </c>
      <c r="E27" s="61">
        <v>3000.0</v>
      </c>
      <c r="F27" s="61">
        <v>3500.0</v>
      </c>
      <c r="G27" s="61">
        <v>3500.0</v>
      </c>
      <c r="H27" s="61">
        <v>3500.0</v>
      </c>
      <c r="I27" s="61">
        <v>4000.0</v>
      </c>
      <c r="J27" s="61">
        <v>4000.0</v>
      </c>
      <c r="K27" s="61">
        <v>4000.0</v>
      </c>
      <c r="L27" s="61">
        <v>4500.0</v>
      </c>
      <c r="M27" s="61">
        <v>4500.0</v>
      </c>
      <c r="N27" s="61">
        <v>4500.0</v>
      </c>
      <c r="O27" s="61">
        <v>5000.0</v>
      </c>
    </row>
    <row r="28">
      <c r="C28" s="60" t="s">
        <v>214</v>
      </c>
      <c r="D28" s="61">
        <v>4000.0</v>
      </c>
      <c r="E28" s="61">
        <v>4000.0</v>
      </c>
      <c r="F28" s="61">
        <v>4000.0</v>
      </c>
      <c r="G28" s="61">
        <v>4000.0</v>
      </c>
      <c r="H28" s="61">
        <v>4500.0</v>
      </c>
      <c r="I28" s="61">
        <v>4500.0</v>
      </c>
      <c r="J28" s="61">
        <v>4500.0</v>
      </c>
      <c r="K28" s="61">
        <v>5000.0</v>
      </c>
      <c r="L28" s="61">
        <v>5000.0</v>
      </c>
      <c r="M28" s="61">
        <v>5000.0</v>
      </c>
      <c r="N28" s="61">
        <v>5000.0</v>
      </c>
      <c r="O28" s="61">
        <v>5000.0</v>
      </c>
    </row>
    <row r="29">
      <c r="C29" s="60" t="s">
        <v>215</v>
      </c>
      <c r="D29" s="62">
        <v>4250.0</v>
      </c>
      <c r="E29" s="62">
        <v>4250.0</v>
      </c>
      <c r="F29" s="62">
        <v>4250.0</v>
      </c>
      <c r="G29" s="62">
        <v>4750.0</v>
      </c>
      <c r="H29" s="62">
        <v>4750.0</v>
      </c>
      <c r="I29" s="62">
        <v>4750.0</v>
      </c>
      <c r="J29" s="62">
        <v>5250.0</v>
      </c>
      <c r="K29" s="62">
        <v>5250.0</v>
      </c>
      <c r="L29" s="62">
        <v>5250.0</v>
      </c>
      <c r="M29" s="62">
        <v>5250.0</v>
      </c>
      <c r="N29" s="62">
        <v>5750.0</v>
      </c>
      <c r="O29" s="62">
        <v>5750.0</v>
      </c>
    </row>
    <row r="30">
      <c r="C30" s="60" t="s">
        <v>216</v>
      </c>
      <c r="D30" s="61">
        <v>5000.0</v>
      </c>
      <c r="E30" s="61">
        <v>5000.0</v>
      </c>
      <c r="F30" s="61">
        <v>5000.0</v>
      </c>
      <c r="G30" s="61">
        <v>5500.0</v>
      </c>
      <c r="H30" s="61">
        <v>5500.0</v>
      </c>
      <c r="I30" s="61">
        <v>5500.0</v>
      </c>
      <c r="J30" s="61">
        <v>6000.0</v>
      </c>
      <c r="K30" s="61">
        <v>6000.0</v>
      </c>
      <c r="L30" s="61">
        <v>6000.0</v>
      </c>
      <c r="M30" s="61">
        <v>6500.0</v>
      </c>
      <c r="N30" s="61">
        <v>6500.0</v>
      </c>
      <c r="O30" s="61">
        <v>6500.0</v>
      </c>
    </row>
    <row r="31">
      <c r="C31" s="60" t="s">
        <v>217</v>
      </c>
      <c r="D31" s="63">
        <v>5000.0</v>
      </c>
      <c r="E31" s="61">
        <v>5000.0</v>
      </c>
      <c r="F31" s="61">
        <v>5000.0</v>
      </c>
      <c r="G31" s="61">
        <v>5000.0</v>
      </c>
      <c r="H31" s="61">
        <v>5500.0</v>
      </c>
      <c r="I31" s="61">
        <v>5500.0</v>
      </c>
      <c r="J31" s="61">
        <v>5500.0</v>
      </c>
      <c r="K31" s="61">
        <v>6000.0</v>
      </c>
      <c r="L31" s="61">
        <v>6000.0</v>
      </c>
      <c r="M31" s="61">
        <v>6000.0</v>
      </c>
      <c r="N31" s="61">
        <v>6500.0</v>
      </c>
      <c r="O31" s="61">
        <v>6500.0</v>
      </c>
    </row>
    <row r="32">
      <c r="C32" s="60" t="s">
        <v>218</v>
      </c>
      <c r="D32" s="61">
        <v>5000.0</v>
      </c>
      <c r="E32" s="61">
        <v>5000.0</v>
      </c>
      <c r="F32" s="61">
        <v>5000.0</v>
      </c>
      <c r="G32" s="61">
        <v>5500.0</v>
      </c>
      <c r="H32" s="61">
        <v>5500.0</v>
      </c>
      <c r="I32" s="61">
        <v>5500.0</v>
      </c>
      <c r="J32" s="61">
        <v>6000.0</v>
      </c>
      <c r="K32" s="61">
        <v>6000.0</v>
      </c>
      <c r="L32" s="61">
        <v>6000.0</v>
      </c>
      <c r="M32" s="61">
        <v>6500.0</v>
      </c>
      <c r="N32" s="61">
        <v>6500.0</v>
      </c>
      <c r="O32" s="61">
        <v>6500.0</v>
      </c>
    </row>
    <row r="33">
      <c r="C33" s="60" t="s">
        <v>219</v>
      </c>
      <c r="D33" s="61">
        <v>5000.0</v>
      </c>
      <c r="E33" s="61">
        <v>5000.0</v>
      </c>
      <c r="F33" s="61">
        <v>5000.0</v>
      </c>
      <c r="G33" s="61">
        <v>5500.0</v>
      </c>
      <c r="H33" s="61">
        <v>5500.0</v>
      </c>
      <c r="I33" s="61">
        <v>5500.0</v>
      </c>
      <c r="J33" s="61">
        <v>6000.0</v>
      </c>
      <c r="K33" s="61">
        <v>6000.0</v>
      </c>
      <c r="L33" s="61">
        <v>6000.0</v>
      </c>
      <c r="M33" s="61">
        <v>6500.0</v>
      </c>
      <c r="N33" s="61">
        <v>6500.0</v>
      </c>
      <c r="O33" s="61">
        <v>6500.0</v>
      </c>
    </row>
    <row r="34">
      <c r="C34" s="60" t="s">
        <v>220</v>
      </c>
      <c r="D34" s="63">
        <v>6000.0</v>
      </c>
      <c r="E34" s="63">
        <v>6000.0</v>
      </c>
      <c r="F34" s="63">
        <v>6000.0</v>
      </c>
      <c r="G34" s="63">
        <v>6000.0</v>
      </c>
      <c r="H34" s="63">
        <v>6000.0</v>
      </c>
      <c r="I34" s="63">
        <v>6000.0</v>
      </c>
      <c r="J34" s="63">
        <v>6000.0</v>
      </c>
      <c r="K34" s="63">
        <v>6000.0</v>
      </c>
      <c r="L34" s="61">
        <v>6000.0</v>
      </c>
      <c r="M34" s="61">
        <v>6500.0</v>
      </c>
      <c r="N34" s="61">
        <v>6500.0</v>
      </c>
      <c r="O34" s="61">
        <v>6500.0</v>
      </c>
    </row>
    <row r="35">
      <c r="C35" s="60" t="s">
        <v>221</v>
      </c>
      <c r="D35" s="61">
        <v>4000.0</v>
      </c>
      <c r="E35" s="61">
        <v>4000.0</v>
      </c>
      <c r="F35" s="61">
        <v>4000.0</v>
      </c>
      <c r="G35" s="61">
        <v>4500.0</v>
      </c>
      <c r="H35" s="61">
        <v>4500.0</v>
      </c>
      <c r="I35" s="61">
        <v>4500.0</v>
      </c>
      <c r="J35" s="61">
        <v>5000.0</v>
      </c>
      <c r="K35" s="61">
        <v>5000.0</v>
      </c>
      <c r="L35" s="61">
        <v>5000.0</v>
      </c>
      <c r="M35" s="61">
        <v>5000.0</v>
      </c>
      <c r="N35" s="61">
        <v>5000.0</v>
      </c>
      <c r="O35" s="61">
        <v>5000.0</v>
      </c>
    </row>
    <row r="36">
      <c r="C36" s="60" t="s">
        <v>222</v>
      </c>
      <c r="D36" s="61">
        <v>4000.0</v>
      </c>
      <c r="E36" s="61">
        <v>4000.0</v>
      </c>
      <c r="F36" s="61">
        <v>4000.0</v>
      </c>
      <c r="G36" s="61">
        <v>4500.0</v>
      </c>
      <c r="H36" s="61">
        <v>4500.0</v>
      </c>
      <c r="I36" s="61">
        <v>4500.0</v>
      </c>
      <c r="J36" s="61">
        <v>5000.0</v>
      </c>
      <c r="K36" s="61">
        <v>5000.0</v>
      </c>
      <c r="L36" s="61">
        <v>5000.0</v>
      </c>
      <c r="M36" s="61">
        <v>5000.0</v>
      </c>
      <c r="N36" s="61">
        <v>5000.0</v>
      </c>
      <c r="O36" s="61">
        <v>5000.0</v>
      </c>
    </row>
    <row r="37">
      <c r="C37" s="60" t="s">
        <v>223</v>
      </c>
      <c r="D37" s="61">
        <v>4400.0</v>
      </c>
      <c r="E37" s="61">
        <v>4400.0</v>
      </c>
      <c r="F37" s="61">
        <v>4400.0</v>
      </c>
      <c r="G37" s="61">
        <v>4900.0</v>
      </c>
      <c r="H37" s="61">
        <v>4900.0</v>
      </c>
      <c r="I37" s="61">
        <v>4900.0</v>
      </c>
      <c r="J37" s="61">
        <v>5400.0</v>
      </c>
      <c r="K37" s="61">
        <v>5400.0</v>
      </c>
      <c r="L37" s="61">
        <v>5400.0</v>
      </c>
      <c r="M37" s="61">
        <v>5900.0</v>
      </c>
      <c r="N37" s="61">
        <v>5900.0</v>
      </c>
      <c r="O37" s="61">
        <v>5900.0</v>
      </c>
    </row>
    <row r="38">
      <c r="C38" s="60" t="s">
        <v>224</v>
      </c>
      <c r="D38" s="61">
        <v>3000.0</v>
      </c>
      <c r="E38" s="61">
        <v>3000.0</v>
      </c>
      <c r="F38" s="61">
        <v>3000.0</v>
      </c>
      <c r="G38" s="61">
        <v>3500.0</v>
      </c>
      <c r="H38" s="61">
        <v>3500.0</v>
      </c>
      <c r="I38" s="61">
        <v>3500.0</v>
      </c>
      <c r="J38" s="61">
        <v>4000.0</v>
      </c>
      <c r="K38" s="61">
        <v>4000.0</v>
      </c>
      <c r="L38" s="61">
        <v>4000.0</v>
      </c>
      <c r="M38" s="61">
        <v>4500.0</v>
      </c>
      <c r="N38" s="61">
        <v>4500.0</v>
      </c>
      <c r="O38" s="61">
        <v>4500.0</v>
      </c>
    </row>
    <row r="39">
      <c r="C39" s="60" t="s">
        <v>225</v>
      </c>
      <c r="D39" s="61">
        <v>1000.0</v>
      </c>
      <c r="E39" s="61">
        <v>1000.0</v>
      </c>
      <c r="F39" s="61">
        <v>1500.0</v>
      </c>
      <c r="G39" s="61">
        <v>2000.0</v>
      </c>
      <c r="H39" s="61">
        <v>2000.0</v>
      </c>
      <c r="I39" s="61">
        <v>2000.0</v>
      </c>
      <c r="J39" s="61">
        <v>2500.0</v>
      </c>
      <c r="K39" s="61">
        <v>2500.0</v>
      </c>
      <c r="L39" s="61">
        <v>2500.0</v>
      </c>
      <c r="M39" s="61">
        <v>3000.0</v>
      </c>
      <c r="N39" s="61">
        <v>3000.0</v>
      </c>
      <c r="O39" s="61">
        <v>3000.0</v>
      </c>
    </row>
    <row r="40">
      <c r="C40" s="54" t="s">
        <v>226</v>
      </c>
      <c r="D40" s="61">
        <v>5000.0</v>
      </c>
      <c r="E40" s="61">
        <v>5000.0</v>
      </c>
      <c r="F40" s="61">
        <v>5000.0</v>
      </c>
      <c r="G40" s="61">
        <v>5000.0</v>
      </c>
      <c r="H40" s="61">
        <v>5000.0</v>
      </c>
      <c r="I40" s="61">
        <v>5500.0</v>
      </c>
      <c r="J40" s="61">
        <v>5500.0</v>
      </c>
      <c r="K40" s="61">
        <v>5500.0</v>
      </c>
      <c r="L40" s="61">
        <v>5500.0</v>
      </c>
      <c r="M40" s="61">
        <v>6000.0</v>
      </c>
      <c r="N40" s="61">
        <v>6000.0</v>
      </c>
      <c r="O40" s="61">
        <v>6000.0</v>
      </c>
    </row>
    <row r="41">
      <c r="C41" s="54" t="s">
        <v>227</v>
      </c>
      <c r="D41" s="63">
        <v>3000.0</v>
      </c>
      <c r="E41" s="63">
        <v>3000.0</v>
      </c>
      <c r="F41" s="63">
        <v>3000.0</v>
      </c>
      <c r="G41" s="63">
        <v>3000.0</v>
      </c>
      <c r="H41" s="63">
        <v>3000.0</v>
      </c>
      <c r="I41" s="63">
        <v>3000.0</v>
      </c>
      <c r="J41" s="63">
        <v>3000.0</v>
      </c>
      <c r="K41" s="61">
        <v>5500.0</v>
      </c>
      <c r="L41" s="61">
        <v>5500.0</v>
      </c>
      <c r="M41" s="61">
        <v>6000.0</v>
      </c>
      <c r="N41" s="61">
        <v>6000.0</v>
      </c>
      <c r="O41" s="61">
        <v>6000.0</v>
      </c>
    </row>
    <row r="42">
      <c r="C42" s="54" t="s">
        <v>168</v>
      </c>
      <c r="D42" s="61"/>
      <c r="E42" s="61">
        <v>5000.0</v>
      </c>
      <c r="F42" s="61">
        <v>5000.0</v>
      </c>
      <c r="G42" s="61">
        <v>5000.0</v>
      </c>
      <c r="H42" s="61">
        <v>5000.0</v>
      </c>
      <c r="I42" s="61">
        <v>5500.0</v>
      </c>
      <c r="J42" s="61">
        <v>5500.0</v>
      </c>
      <c r="K42" s="61">
        <v>5500.0</v>
      </c>
      <c r="L42" s="61">
        <v>5500.0</v>
      </c>
      <c r="M42" s="61">
        <v>6000.0</v>
      </c>
      <c r="N42" s="61">
        <v>6000.0</v>
      </c>
      <c r="O42" s="61">
        <v>6000.0</v>
      </c>
    </row>
    <row r="43">
      <c r="C43" s="54" t="s">
        <v>168</v>
      </c>
      <c r="D43" s="61"/>
      <c r="E43" s="61">
        <v>5000.0</v>
      </c>
      <c r="F43" s="61">
        <v>5000.0</v>
      </c>
      <c r="G43" s="61">
        <v>5000.0</v>
      </c>
      <c r="H43" s="61">
        <v>5000.0</v>
      </c>
      <c r="I43" s="61">
        <v>5000.0</v>
      </c>
      <c r="J43" s="61">
        <v>5000.0</v>
      </c>
      <c r="K43" s="61">
        <v>5500.0</v>
      </c>
      <c r="L43" s="61">
        <v>5500.0</v>
      </c>
      <c r="M43" s="61">
        <v>5500.0</v>
      </c>
      <c r="N43" s="61">
        <v>5500.0</v>
      </c>
      <c r="O43" s="61">
        <v>5500.0</v>
      </c>
    </row>
    <row r="44">
      <c r="C44" s="54" t="s">
        <v>168</v>
      </c>
      <c r="D44" s="61"/>
      <c r="E44" s="61"/>
      <c r="F44" s="61">
        <v>5000.0</v>
      </c>
      <c r="G44" s="61">
        <v>5000.0</v>
      </c>
      <c r="H44" s="61">
        <v>5000.0</v>
      </c>
      <c r="I44" s="61">
        <v>5000.0</v>
      </c>
      <c r="J44" s="61">
        <v>5000.0</v>
      </c>
      <c r="K44" s="61">
        <v>5000.0</v>
      </c>
      <c r="L44" s="61">
        <v>5500.0</v>
      </c>
      <c r="M44" s="61">
        <v>5500.0</v>
      </c>
      <c r="N44" s="61">
        <v>5500.0</v>
      </c>
      <c r="O44" s="61">
        <v>5500.0</v>
      </c>
    </row>
    <row r="45">
      <c r="C45" s="54" t="s">
        <v>168</v>
      </c>
      <c r="D45" s="64"/>
      <c r="E45" s="61"/>
      <c r="F45" s="61"/>
      <c r="G45" s="61"/>
      <c r="H45" s="61">
        <v>5000.0</v>
      </c>
      <c r="I45" s="61">
        <v>5000.0</v>
      </c>
      <c r="J45" s="61">
        <v>5000.0</v>
      </c>
      <c r="K45" s="61">
        <v>5000.0</v>
      </c>
      <c r="L45" s="61">
        <v>5000.0</v>
      </c>
      <c r="M45" s="61">
        <v>5500.0</v>
      </c>
      <c r="N45" s="61">
        <v>5500.0</v>
      </c>
      <c r="O45" s="61">
        <v>5500.0</v>
      </c>
    </row>
    <row r="46">
      <c r="C46" s="54" t="s">
        <v>168</v>
      </c>
      <c r="D46" s="64"/>
      <c r="E46" s="65"/>
      <c r="F46" s="61"/>
      <c r="G46" s="61"/>
      <c r="H46" s="61"/>
      <c r="I46" s="61"/>
      <c r="J46" s="61">
        <v>5000.0</v>
      </c>
      <c r="K46" s="61">
        <v>5000.0</v>
      </c>
      <c r="L46" s="61">
        <v>5000.0</v>
      </c>
      <c r="M46" s="61">
        <v>5000.0</v>
      </c>
      <c r="N46" s="61">
        <v>5500.0</v>
      </c>
      <c r="O46" s="61">
        <v>5500.0</v>
      </c>
    </row>
    <row r="47">
      <c r="C47" s="54" t="s">
        <v>168</v>
      </c>
      <c r="D47" s="64"/>
      <c r="E47" s="65"/>
      <c r="F47" s="65"/>
      <c r="G47" s="61"/>
      <c r="H47" s="61"/>
      <c r="I47" s="61"/>
      <c r="J47" s="61"/>
      <c r="K47" s="61"/>
      <c r="L47" s="61">
        <v>5000.0</v>
      </c>
      <c r="M47" s="61">
        <v>5000.0</v>
      </c>
      <c r="N47" s="61">
        <v>5000.0</v>
      </c>
      <c r="O47" s="61">
        <v>5000.0</v>
      </c>
    </row>
    <row r="48">
      <c r="C48" s="54" t="s">
        <v>168</v>
      </c>
      <c r="D48" s="64"/>
      <c r="E48" s="65"/>
      <c r="F48" s="65"/>
      <c r="G48" s="65"/>
      <c r="H48" s="61"/>
      <c r="I48" s="61"/>
      <c r="J48" s="61"/>
      <c r="K48" s="61"/>
      <c r="L48" s="61"/>
      <c r="M48" s="61">
        <v>5000.0</v>
      </c>
      <c r="N48" s="61">
        <v>5000.0</v>
      </c>
      <c r="O48" s="61">
        <v>5000.0</v>
      </c>
    </row>
    <row r="49">
      <c r="C49" s="54" t="s">
        <v>168</v>
      </c>
      <c r="D49" s="64"/>
      <c r="E49" s="65"/>
      <c r="F49" s="65"/>
      <c r="G49" s="65"/>
      <c r="H49" s="65"/>
      <c r="I49" s="61"/>
      <c r="J49" s="61"/>
      <c r="K49" s="61"/>
      <c r="L49" s="61"/>
      <c r="M49" s="61"/>
      <c r="N49" s="61"/>
      <c r="O49" s="61">
        <v>5000.0</v>
      </c>
    </row>
    <row r="50">
      <c r="C50" s="54" t="s">
        <v>168</v>
      </c>
      <c r="D50" s="65"/>
      <c r="E50" s="65"/>
      <c r="F50" s="65"/>
      <c r="G50" s="65"/>
      <c r="H50" s="65"/>
      <c r="I50" s="65"/>
      <c r="J50" s="61"/>
      <c r="K50" s="61"/>
      <c r="L50" s="61"/>
      <c r="M50" s="61"/>
      <c r="N50" s="61"/>
      <c r="O50" s="61"/>
    </row>
    <row r="52">
      <c r="B52" s="57" t="s">
        <v>228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>
      <c r="B53" s="55" t="s">
        <v>141</v>
      </c>
      <c r="C53" s="66" t="s">
        <v>92</v>
      </c>
      <c r="D53" s="61" t="s">
        <v>81</v>
      </c>
      <c r="E53" s="61" t="s">
        <v>82</v>
      </c>
      <c r="F53" s="61" t="s">
        <v>83</v>
      </c>
      <c r="G53" s="61" t="s">
        <v>84</v>
      </c>
      <c r="H53" s="61" t="s">
        <v>85</v>
      </c>
      <c r="I53" s="61" t="s">
        <v>86</v>
      </c>
      <c r="J53" s="61" t="s">
        <v>87</v>
      </c>
      <c r="K53" s="61" t="s">
        <v>88</v>
      </c>
      <c r="L53" s="61" t="s">
        <v>89</v>
      </c>
      <c r="M53" s="61" t="s">
        <v>90</v>
      </c>
      <c r="N53" s="61" t="s">
        <v>91</v>
      </c>
      <c r="O53" s="61" t="s">
        <v>92</v>
      </c>
    </row>
    <row r="54">
      <c r="B54" s="30" t="s">
        <v>202</v>
      </c>
      <c r="C54" s="67">
        <f t="shared" ref="C54:O54" si="12">C12</f>
        <v>176</v>
      </c>
      <c r="D54" s="67">
        <f t="shared" si="12"/>
        <v>181.8500927</v>
      </c>
      <c r="E54" s="67">
        <f t="shared" si="12"/>
        <v>187.1518312</v>
      </c>
      <c r="F54" s="67">
        <f t="shared" si="12"/>
        <v>191.9577366</v>
      </c>
      <c r="G54" s="67">
        <f t="shared" si="12"/>
        <v>198.8286834</v>
      </c>
      <c r="H54" s="67">
        <f t="shared" si="12"/>
        <v>205.0644405</v>
      </c>
      <c r="I54" s="67">
        <f t="shared" si="12"/>
        <v>210.7245903</v>
      </c>
      <c r="J54" s="67">
        <f t="shared" si="12"/>
        <v>218.8743043</v>
      </c>
      <c r="K54" s="67">
        <f t="shared" si="12"/>
        <v>226.277395</v>
      </c>
      <c r="L54" s="67">
        <f t="shared" si="12"/>
        <v>233.0029536</v>
      </c>
      <c r="M54" s="67">
        <f t="shared" si="12"/>
        <v>242.1214199</v>
      </c>
      <c r="N54" s="67">
        <f t="shared" si="12"/>
        <v>250.409157</v>
      </c>
      <c r="O54" s="67">
        <f t="shared" si="12"/>
        <v>257.9423634</v>
      </c>
    </row>
    <row r="55">
      <c r="B55" s="55" t="s">
        <v>229</v>
      </c>
      <c r="C55" s="42">
        <v>26.0</v>
      </c>
      <c r="D55" s="42">
        <v>26.0</v>
      </c>
      <c r="E55" s="42">
        <v>26.0</v>
      </c>
      <c r="F55" s="42">
        <v>26.0</v>
      </c>
      <c r="G55" s="42">
        <v>26.0</v>
      </c>
      <c r="H55" s="42">
        <v>26.0</v>
      </c>
      <c r="I55" s="42">
        <v>26.0</v>
      </c>
      <c r="J55" s="42">
        <v>26.0</v>
      </c>
      <c r="K55" s="42">
        <v>26.0</v>
      </c>
      <c r="L55" s="42">
        <v>26.0</v>
      </c>
      <c r="M55" s="42">
        <v>26.0</v>
      </c>
      <c r="N55" s="42">
        <v>26.0</v>
      </c>
      <c r="O55" s="42">
        <v>26.0</v>
      </c>
    </row>
    <row r="56">
      <c r="B56" s="30" t="s">
        <v>230</v>
      </c>
      <c r="C56" s="45">
        <f t="shared" ref="C56:O56" si="13">C54/C55</f>
        <v>6.769230769</v>
      </c>
      <c r="D56" s="45">
        <f t="shared" si="13"/>
        <v>6.994234334</v>
      </c>
      <c r="E56" s="45">
        <f t="shared" si="13"/>
        <v>7.198147353</v>
      </c>
      <c r="F56" s="45">
        <f t="shared" si="13"/>
        <v>7.382989868</v>
      </c>
      <c r="G56" s="45">
        <f t="shared" si="13"/>
        <v>7.647257053</v>
      </c>
      <c r="H56" s="45">
        <f t="shared" si="13"/>
        <v>7.887093865</v>
      </c>
      <c r="I56" s="45">
        <f t="shared" si="13"/>
        <v>8.104791933</v>
      </c>
      <c r="J56" s="45">
        <f t="shared" si="13"/>
        <v>8.418242471</v>
      </c>
      <c r="K56" s="45">
        <f t="shared" si="13"/>
        <v>8.70297673</v>
      </c>
      <c r="L56" s="45">
        <f t="shared" si="13"/>
        <v>8.96165206</v>
      </c>
      <c r="M56" s="45">
        <f t="shared" si="13"/>
        <v>9.312362305</v>
      </c>
      <c r="N56" s="45">
        <f t="shared" si="13"/>
        <v>9.631121424</v>
      </c>
      <c r="O56" s="45">
        <f t="shared" si="13"/>
        <v>9.920860131</v>
      </c>
    </row>
    <row r="57">
      <c r="B57" s="30" t="s">
        <v>231</v>
      </c>
      <c r="C57" s="13">
        <v>6.0</v>
      </c>
      <c r="D57" s="68">
        <f t="shared" ref="D57:O57" si="14">count(D65:D80)</f>
        <v>8</v>
      </c>
      <c r="E57" s="68">
        <f t="shared" si="14"/>
        <v>8</v>
      </c>
      <c r="F57" s="68">
        <f t="shared" si="14"/>
        <v>8</v>
      </c>
      <c r="G57" s="68">
        <f t="shared" si="14"/>
        <v>9</v>
      </c>
      <c r="H57" s="68">
        <f t="shared" si="14"/>
        <v>9</v>
      </c>
      <c r="I57" s="68">
        <f t="shared" si="14"/>
        <v>9</v>
      </c>
      <c r="J57" s="68">
        <f t="shared" si="14"/>
        <v>9</v>
      </c>
      <c r="K57" s="68">
        <f t="shared" si="14"/>
        <v>10</v>
      </c>
      <c r="L57" s="68">
        <f t="shared" si="14"/>
        <v>10</v>
      </c>
      <c r="M57" s="68">
        <f t="shared" si="14"/>
        <v>10</v>
      </c>
      <c r="N57" s="68">
        <f t="shared" si="14"/>
        <v>10</v>
      </c>
      <c r="O57" s="68">
        <f t="shared" si="14"/>
        <v>11</v>
      </c>
    </row>
    <row r="58">
      <c r="B58" s="55" t="s">
        <v>206</v>
      </c>
      <c r="C58" s="45">
        <f t="shared" ref="C58:O58" si="15">C56-C57</f>
        <v>0.7692307692</v>
      </c>
      <c r="D58" s="45">
        <f t="shared" si="15"/>
        <v>-1.005765666</v>
      </c>
      <c r="E58" s="45">
        <f t="shared" si="15"/>
        <v>-0.8018526471</v>
      </c>
      <c r="F58" s="45">
        <f t="shared" si="15"/>
        <v>-0.617010132</v>
      </c>
      <c r="G58" s="45">
        <f t="shared" si="15"/>
        <v>-1.352742947</v>
      </c>
      <c r="H58" s="45">
        <f t="shared" si="15"/>
        <v>-1.112906135</v>
      </c>
      <c r="I58" s="45">
        <f t="shared" si="15"/>
        <v>-0.8952080665</v>
      </c>
      <c r="J58" s="45">
        <f t="shared" si="15"/>
        <v>-0.5817575286</v>
      </c>
      <c r="K58" s="45">
        <f t="shared" si="15"/>
        <v>-1.29702327</v>
      </c>
      <c r="L58" s="45">
        <f t="shared" si="15"/>
        <v>-1.03834794</v>
      </c>
      <c r="M58" s="45">
        <f t="shared" si="15"/>
        <v>-0.6876376952</v>
      </c>
      <c r="N58" s="45">
        <f t="shared" si="15"/>
        <v>-0.3688785759</v>
      </c>
      <c r="O58" s="45">
        <f t="shared" si="15"/>
        <v>-1.079139869</v>
      </c>
    </row>
    <row r="59">
      <c r="B59" s="30" t="s">
        <v>232</v>
      </c>
      <c r="C59" s="47">
        <f t="shared" ref="C59:O59" si="16">C54/C57</f>
        <v>29.33333333</v>
      </c>
      <c r="D59" s="47">
        <f t="shared" si="16"/>
        <v>22.73126158</v>
      </c>
      <c r="E59" s="47">
        <f t="shared" si="16"/>
        <v>23.3939789</v>
      </c>
      <c r="F59" s="47">
        <f t="shared" si="16"/>
        <v>23.99471707</v>
      </c>
      <c r="G59" s="47">
        <f t="shared" si="16"/>
        <v>22.09207593</v>
      </c>
      <c r="H59" s="47">
        <f t="shared" si="16"/>
        <v>22.78493783</v>
      </c>
      <c r="I59" s="47">
        <f t="shared" si="16"/>
        <v>23.41384336</v>
      </c>
      <c r="J59" s="47">
        <f t="shared" si="16"/>
        <v>24.31936714</v>
      </c>
      <c r="K59" s="47">
        <f t="shared" si="16"/>
        <v>22.6277395</v>
      </c>
      <c r="L59" s="47">
        <f t="shared" si="16"/>
        <v>23.30029536</v>
      </c>
      <c r="M59" s="47">
        <f t="shared" si="16"/>
        <v>24.21214199</v>
      </c>
      <c r="N59" s="47">
        <f t="shared" si="16"/>
        <v>25.0409157</v>
      </c>
      <c r="O59" s="47">
        <f t="shared" si="16"/>
        <v>23.44930577</v>
      </c>
    </row>
    <row r="61">
      <c r="B61" s="2"/>
      <c r="C61" s="57" t="s">
        <v>228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>
      <c r="C62" s="12" t="s">
        <v>76</v>
      </c>
      <c r="D62" s="59" t="s">
        <v>77</v>
      </c>
      <c r="E62" s="7"/>
      <c r="F62" s="8"/>
      <c r="G62" s="59" t="s">
        <v>78</v>
      </c>
      <c r="H62" s="7"/>
      <c r="I62" s="8"/>
      <c r="J62" s="59" t="s">
        <v>79</v>
      </c>
      <c r="K62" s="7"/>
      <c r="L62" s="8"/>
      <c r="M62" s="59" t="s">
        <v>80</v>
      </c>
      <c r="N62" s="7"/>
      <c r="O62" s="8"/>
    </row>
    <row r="63">
      <c r="C63" s="12" t="s">
        <v>141</v>
      </c>
      <c r="D63" s="31" t="s">
        <v>81</v>
      </c>
      <c r="E63" s="31" t="s">
        <v>82</v>
      </c>
      <c r="F63" s="31" t="s">
        <v>83</v>
      </c>
      <c r="G63" s="31" t="s">
        <v>84</v>
      </c>
      <c r="H63" s="31" t="s">
        <v>85</v>
      </c>
      <c r="I63" s="31" t="s">
        <v>86</v>
      </c>
      <c r="J63" s="31" t="s">
        <v>87</v>
      </c>
      <c r="K63" s="31" t="s">
        <v>88</v>
      </c>
      <c r="L63" s="31" t="s">
        <v>89</v>
      </c>
      <c r="M63" s="31" t="s">
        <v>90</v>
      </c>
      <c r="N63" s="31" t="s">
        <v>91</v>
      </c>
      <c r="O63" s="31" t="s">
        <v>92</v>
      </c>
    </row>
    <row r="64">
      <c r="C64" s="30" t="s">
        <v>233</v>
      </c>
      <c r="D64" s="34">
        <f t="shared" ref="D64:O64" si="17">SUM(D65:D75)</f>
        <v>29250</v>
      </c>
      <c r="E64" s="34">
        <f t="shared" si="17"/>
        <v>29750</v>
      </c>
      <c r="F64" s="34">
        <f t="shared" si="17"/>
        <v>29750</v>
      </c>
      <c r="G64" s="34">
        <f t="shared" si="17"/>
        <v>33500</v>
      </c>
      <c r="H64" s="34">
        <f t="shared" si="17"/>
        <v>33500</v>
      </c>
      <c r="I64" s="34">
        <f t="shared" si="17"/>
        <v>33500</v>
      </c>
      <c r="J64" s="34">
        <f t="shared" si="17"/>
        <v>35250</v>
      </c>
      <c r="K64" s="34">
        <f t="shared" si="17"/>
        <v>41750</v>
      </c>
      <c r="L64" s="34">
        <f t="shared" si="17"/>
        <v>41750</v>
      </c>
      <c r="M64" s="34">
        <f t="shared" si="17"/>
        <v>42000</v>
      </c>
      <c r="N64" s="34">
        <f t="shared" si="17"/>
        <v>42000</v>
      </c>
      <c r="O64" s="34">
        <f t="shared" si="17"/>
        <v>48000</v>
      </c>
      <c r="P64" s="37">
        <f>SUM(D64:O64)</f>
        <v>440000</v>
      </c>
    </row>
    <row r="65">
      <c r="C65" s="60" t="s">
        <v>234</v>
      </c>
      <c r="D65" s="63">
        <v>4500.0</v>
      </c>
      <c r="E65" s="63">
        <v>4500.0</v>
      </c>
      <c r="F65" s="63">
        <v>4500.0</v>
      </c>
      <c r="G65" s="63">
        <v>4500.0</v>
      </c>
      <c r="H65" s="63">
        <v>4500.0</v>
      </c>
      <c r="I65" s="63">
        <v>4500.0</v>
      </c>
      <c r="J65" s="63">
        <v>5000.0</v>
      </c>
      <c r="K65" s="63">
        <v>5000.0</v>
      </c>
      <c r="L65" s="63">
        <v>5000.0</v>
      </c>
      <c r="M65" s="63">
        <v>5000.0</v>
      </c>
      <c r="N65" s="63">
        <v>5000.0</v>
      </c>
      <c r="O65" s="63">
        <v>5000.0</v>
      </c>
    </row>
    <row r="66">
      <c r="C66" s="60" t="s">
        <v>235</v>
      </c>
      <c r="D66" s="63">
        <v>4000.0</v>
      </c>
      <c r="E66" s="63">
        <v>4000.0</v>
      </c>
      <c r="F66" s="63">
        <v>4000.0</v>
      </c>
      <c r="G66" s="63">
        <v>4250.0</v>
      </c>
      <c r="H66" s="63">
        <v>4250.0</v>
      </c>
      <c r="I66" s="63">
        <v>4250.0</v>
      </c>
      <c r="J66" s="63">
        <v>4500.0</v>
      </c>
      <c r="K66" s="63">
        <v>4500.0</v>
      </c>
      <c r="L66" s="63">
        <v>4500.0</v>
      </c>
      <c r="M66" s="63">
        <v>4500.0</v>
      </c>
      <c r="N66" s="63">
        <v>4500.0</v>
      </c>
      <c r="O66" s="63">
        <v>4500.0</v>
      </c>
    </row>
    <row r="67">
      <c r="C67" s="60" t="s">
        <v>236</v>
      </c>
      <c r="D67" s="63">
        <v>4000.0</v>
      </c>
      <c r="E67" s="63">
        <v>4000.0</v>
      </c>
      <c r="F67" s="63">
        <v>4000.0</v>
      </c>
      <c r="G67" s="63">
        <v>4000.0</v>
      </c>
      <c r="H67" s="63">
        <v>4000.0</v>
      </c>
      <c r="I67" s="63">
        <v>4000.0</v>
      </c>
      <c r="J67" s="63">
        <v>4250.0</v>
      </c>
      <c r="K67" s="63">
        <v>4250.0</v>
      </c>
      <c r="L67" s="63">
        <v>4250.0</v>
      </c>
      <c r="M67" s="63">
        <v>4250.0</v>
      </c>
      <c r="N67" s="63">
        <v>4250.0</v>
      </c>
      <c r="O67" s="63">
        <v>4250.0</v>
      </c>
    </row>
    <row r="68">
      <c r="C68" s="60" t="s">
        <v>237</v>
      </c>
      <c r="D68" s="63">
        <v>3500.0</v>
      </c>
      <c r="E68" s="63">
        <v>4000.0</v>
      </c>
      <c r="F68" s="63">
        <v>4000.0</v>
      </c>
      <c r="G68" s="63">
        <v>4500.0</v>
      </c>
      <c r="H68" s="63">
        <v>4500.0</v>
      </c>
      <c r="I68" s="63">
        <v>4500.0</v>
      </c>
      <c r="J68" s="63">
        <v>4500.0</v>
      </c>
      <c r="K68" s="63">
        <v>4500.0</v>
      </c>
      <c r="L68" s="63">
        <v>4500.0</v>
      </c>
      <c r="M68" s="63">
        <v>4750.0</v>
      </c>
      <c r="N68" s="63">
        <v>4750.0</v>
      </c>
      <c r="O68" s="63">
        <v>4750.0</v>
      </c>
    </row>
    <row r="69">
      <c r="C69" s="60" t="s">
        <v>238</v>
      </c>
      <c r="D69" s="63">
        <v>3500.0</v>
      </c>
      <c r="E69" s="63">
        <v>3500.0</v>
      </c>
      <c r="F69" s="63">
        <v>3500.0</v>
      </c>
      <c r="G69" s="63">
        <v>3500.0</v>
      </c>
      <c r="H69" s="63">
        <v>3500.0</v>
      </c>
      <c r="I69" s="63">
        <v>3500.0</v>
      </c>
      <c r="J69" s="63">
        <v>4000.0</v>
      </c>
      <c r="K69" s="63">
        <v>4000.0</v>
      </c>
      <c r="L69" s="63">
        <v>4000.0</v>
      </c>
      <c r="M69" s="63">
        <v>4000.0</v>
      </c>
      <c r="N69" s="63">
        <v>4000.0</v>
      </c>
      <c r="O69" s="63">
        <v>4000.0</v>
      </c>
    </row>
    <row r="70">
      <c r="C70" s="60" t="s">
        <v>239</v>
      </c>
      <c r="D70" s="63">
        <v>2750.0</v>
      </c>
      <c r="E70" s="63">
        <v>2750.0</v>
      </c>
      <c r="F70" s="63">
        <v>2750.0</v>
      </c>
      <c r="G70" s="63">
        <v>2750.0</v>
      </c>
      <c r="H70" s="63">
        <v>2750.0</v>
      </c>
      <c r="I70" s="63">
        <v>2750.0</v>
      </c>
      <c r="J70" s="63">
        <v>3000.0</v>
      </c>
      <c r="K70" s="63">
        <v>3500.0</v>
      </c>
      <c r="L70" s="63">
        <v>3500.0</v>
      </c>
      <c r="M70" s="63">
        <v>3500.0</v>
      </c>
      <c r="N70" s="63">
        <v>3500.0</v>
      </c>
      <c r="O70" s="63">
        <v>3500.0</v>
      </c>
    </row>
    <row r="71">
      <c r="C71" s="54" t="s">
        <v>240</v>
      </c>
      <c r="D71" s="63">
        <v>4000.0</v>
      </c>
      <c r="E71" s="63">
        <v>4000.0</v>
      </c>
      <c r="F71" s="63">
        <v>4000.0</v>
      </c>
      <c r="G71" s="63">
        <v>4000.0</v>
      </c>
      <c r="H71" s="63">
        <v>4000.0</v>
      </c>
      <c r="I71" s="63">
        <v>4000.0</v>
      </c>
      <c r="J71" s="63">
        <v>4000.0</v>
      </c>
      <c r="K71" s="63">
        <v>4000.0</v>
      </c>
      <c r="L71" s="63">
        <v>4000.0</v>
      </c>
      <c r="M71" s="63">
        <v>4000.0</v>
      </c>
      <c r="N71" s="63">
        <v>4000.0</v>
      </c>
      <c r="O71" s="63">
        <v>4000.0</v>
      </c>
    </row>
    <row r="72">
      <c r="C72" s="54" t="s">
        <v>241</v>
      </c>
      <c r="D72" s="63">
        <v>3000.0</v>
      </c>
      <c r="E72" s="63">
        <v>3000.0</v>
      </c>
      <c r="F72" s="63">
        <v>3000.0</v>
      </c>
      <c r="G72" s="63">
        <v>3000.0</v>
      </c>
      <c r="H72" s="63">
        <v>3000.0</v>
      </c>
      <c r="I72" s="63">
        <v>3000.0</v>
      </c>
      <c r="J72" s="63">
        <v>3000.0</v>
      </c>
      <c r="K72" s="63">
        <v>3000.0</v>
      </c>
      <c r="L72" s="63">
        <v>3000.0</v>
      </c>
      <c r="M72" s="63">
        <v>3000.0</v>
      </c>
      <c r="N72" s="63">
        <v>3000.0</v>
      </c>
      <c r="O72" s="63">
        <v>3000.0</v>
      </c>
    </row>
    <row r="73">
      <c r="C73" s="54" t="s">
        <v>168</v>
      </c>
      <c r="D73" s="63"/>
      <c r="E73" s="63"/>
      <c r="F73" s="63"/>
      <c r="G73" s="63">
        <v>3000.0</v>
      </c>
      <c r="H73" s="63">
        <v>3000.0</v>
      </c>
      <c r="I73" s="63">
        <v>3000.0</v>
      </c>
      <c r="J73" s="63">
        <v>3000.0</v>
      </c>
      <c r="K73" s="63">
        <v>3000.0</v>
      </c>
      <c r="L73" s="63">
        <v>3000.0</v>
      </c>
      <c r="M73" s="63">
        <v>3000.0</v>
      </c>
      <c r="N73" s="63">
        <v>3000.0</v>
      </c>
      <c r="O73" s="63">
        <v>3000.0</v>
      </c>
    </row>
    <row r="74">
      <c r="C74" s="54" t="s">
        <v>168</v>
      </c>
      <c r="D74" s="69"/>
      <c r="E74" s="69"/>
      <c r="F74" s="69"/>
      <c r="G74" s="63"/>
      <c r="H74" s="63"/>
      <c r="I74" s="63"/>
      <c r="J74" s="63"/>
      <c r="K74" s="63">
        <v>6000.0</v>
      </c>
      <c r="L74" s="63">
        <v>6000.0</v>
      </c>
      <c r="M74" s="63">
        <v>6000.0</v>
      </c>
      <c r="N74" s="63">
        <v>6000.0</v>
      </c>
      <c r="O74" s="63">
        <v>6000.0</v>
      </c>
    </row>
    <row r="75">
      <c r="C75" s="54" t="s">
        <v>168</v>
      </c>
      <c r="D75" s="65"/>
      <c r="E75" s="65"/>
      <c r="F75" s="65"/>
      <c r="G75" s="65"/>
      <c r="H75" s="65"/>
      <c r="I75" s="65"/>
      <c r="J75" s="63"/>
      <c r="K75" s="63"/>
      <c r="L75" s="63"/>
      <c r="M75" s="63"/>
      <c r="N75" s="63"/>
      <c r="O75" s="63">
        <v>6000.0</v>
      </c>
    </row>
    <row r="76">
      <c r="C76" s="54" t="s">
        <v>168</v>
      </c>
      <c r="D76" s="70"/>
      <c r="E76" s="70"/>
      <c r="F76" s="70"/>
      <c r="G76" s="70"/>
      <c r="H76" s="70"/>
      <c r="I76" s="70"/>
      <c r="J76" s="70"/>
      <c r="K76" s="70"/>
      <c r="L76" s="56"/>
      <c r="M76" s="56"/>
      <c r="N76" s="63"/>
      <c r="O76" s="63"/>
    </row>
    <row r="77">
      <c r="C77" s="54" t="s">
        <v>168</v>
      </c>
      <c r="D77" s="70"/>
      <c r="E77" s="70"/>
      <c r="F77" s="70"/>
      <c r="G77" s="70"/>
      <c r="H77" s="70"/>
      <c r="I77" s="70"/>
      <c r="J77" s="70"/>
      <c r="K77" s="70"/>
      <c r="L77" s="70"/>
      <c r="M77" s="56"/>
      <c r="N77" s="56"/>
      <c r="O77" s="56"/>
    </row>
    <row r="78">
      <c r="C78" s="54" t="s">
        <v>168</v>
      </c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56"/>
      <c r="O78" s="56"/>
    </row>
    <row r="79">
      <c r="C79" s="54" t="s">
        <v>168</v>
      </c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</row>
    <row r="80">
      <c r="C80" s="54" t="s">
        <v>168</v>
      </c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</row>
    <row r="82">
      <c r="B82" s="57" t="s">
        <v>242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8"/>
    </row>
    <row r="83">
      <c r="B83" s="30" t="s">
        <v>141</v>
      </c>
      <c r="C83" s="13" t="s">
        <v>92</v>
      </c>
      <c r="D83" s="13" t="s">
        <v>81</v>
      </c>
      <c r="E83" s="13" t="s">
        <v>82</v>
      </c>
      <c r="F83" s="13" t="s">
        <v>83</v>
      </c>
      <c r="G83" s="13" t="s">
        <v>84</v>
      </c>
      <c r="H83" s="13" t="s">
        <v>85</v>
      </c>
      <c r="I83" s="13" t="s">
        <v>86</v>
      </c>
      <c r="J83" s="13" t="s">
        <v>87</v>
      </c>
      <c r="K83" s="13" t="s">
        <v>88</v>
      </c>
      <c r="L83" s="13" t="s">
        <v>89</v>
      </c>
      <c r="M83" s="13" t="s">
        <v>90</v>
      </c>
      <c r="N83" s="13" t="s">
        <v>91</v>
      </c>
      <c r="O83" s="13" t="s">
        <v>92</v>
      </c>
    </row>
    <row r="84">
      <c r="B84" s="30" t="s">
        <v>243</v>
      </c>
      <c r="C84" s="34">
        <f>Revenue!C12</f>
        <v>223000</v>
      </c>
      <c r="D84" s="34">
        <f>Revenue!D12+CAC!Q55</f>
        <v>310680</v>
      </c>
      <c r="E84" s="34">
        <f>Revenue!E12+CAC!R55</f>
        <v>341328.8</v>
      </c>
      <c r="F84" s="34">
        <f>Revenue!F12+CAC!S55</f>
        <v>369219.208</v>
      </c>
      <c r="G84" s="34">
        <f>Revenue!G12+CAC!T55</f>
        <v>411849.4793</v>
      </c>
      <c r="H84" s="34">
        <f>Revenue!H12+CAC!U55</f>
        <v>440633.0261</v>
      </c>
      <c r="I84" s="34">
        <f>Revenue!I12+CAC!V55</f>
        <v>466826.0538</v>
      </c>
      <c r="J84" s="34">
        <f>Revenue!J12+CAC!W55</f>
        <v>509161.709</v>
      </c>
      <c r="K84" s="34">
        <f>Revenue!K12+CAC!X55</f>
        <v>537677.1551</v>
      </c>
      <c r="L84" s="34">
        <f>Revenue!L12+CAC!Y55</f>
        <v>563626.2112</v>
      </c>
      <c r="M84" s="34">
        <f>Revenue!M12+CAC!Z55</f>
        <v>605739.8522</v>
      </c>
      <c r="N84" s="34">
        <f>Revenue!N12+CAC!AA55</f>
        <v>634053.2655</v>
      </c>
      <c r="O84" s="34">
        <f>Revenue!O12+CAC!AB55</f>
        <v>659818.4716</v>
      </c>
      <c r="P84" s="37">
        <f>SUM(D84:O84)</f>
        <v>5850613.232</v>
      </c>
    </row>
    <row r="85">
      <c r="B85" s="30" t="s">
        <v>244</v>
      </c>
      <c r="C85" s="45">
        <f>Revenue!C14</f>
        <v>53</v>
      </c>
      <c r="D85" s="45">
        <f>Revenue!D14+CAC!Q57</f>
        <v>66.84111498</v>
      </c>
      <c r="E85" s="45">
        <f>Revenue!E14+CAC!R57</f>
        <v>72.39110658</v>
      </c>
      <c r="F85" s="45">
        <f>Revenue!F14+CAC!S57</f>
        <v>77.42246674</v>
      </c>
      <c r="G85" s="45">
        <f>Revenue!G14+CAC!T57</f>
        <v>84.81606944</v>
      </c>
      <c r="H85" s="45">
        <f>Revenue!H14+CAC!U57</f>
        <v>90.10010354</v>
      </c>
      <c r="I85" s="45">
        <f>Revenue!I14+CAC!V57</f>
        <v>94.89731288</v>
      </c>
      <c r="J85" s="45">
        <f>Revenue!J14+CAC!W57</f>
        <v>102.3316073</v>
      </c>
      <c r="K85" s="45">
        <f>Revenue!K14+CAC!X57</f>
        <v>107.6576595</v>
      </c>
      <c r="L85" s="45">
        <f>Revenue!L14+CAC!Y57</f>
        <v>112.4968726</v>
      </c>
      <c r="M85" s="45">
        <f>Revenue!M14+CAC!Z57</f>
        <v>119.9700883</v>
      </c>
      <c r="N85" s="45">
        <f>Revenue!N14+CAC!AA57</f>
        <v>125.3344791</v>
      </c>
      <c r="O85" s="45">
        <f>Revenue!O14+CAC!AB57</f>
        <v>130.210875</v>
      </c>
    </row>
    <row r="86">
      <c r="B86" s="30" t="s">
        <v>229</v>
      </c>
      <c r="C86" s="42">
        <v>18.0</v>
      </c>
      <c r="D86" s="42">
        <v>18.0</v>
      </c>
      <c r="E86" s="42">
        <v>18.0</v>
      </c>
      <c r="F86" s="42">
        <v>18.0</v>
      </c>
      <c r="G86" s="42">
        <v>18.0</v>
      </c>
      <c r="H86" s="42">
        <v>18.0</v>
      </c>
      <c r="I86" s="42">
        <v>18.0</v>
      </c>
      <c r="J86" s="42">
        <v>18.0</v>
      </c>
      <c r="K86" s="42">
        <v>18.0</v>
      </c>
      <c r="L86" s="42">
        <v>18.0</v>
      </c>
      <c r="M86" s="42">
        <v>18.0</v>
      </c>
      <c r="N86" s="42">
        <v>18.0</v>
      </c>
      <c r="O86" s="42">
        <v>18.0</v>
      </c>
      <c r="P86" s="71"/>
    </row>
    <row r="87">
      <c r="B87" s="30" t="s">
        <v>204</v>
      </c>
      <c r="C87" s="42">
        <f t="shared" ref="C87:O87" si="18">C85/C86</f>
        <v>2.944444444</v>
      </c>
      <c r="D87" s="42">
        <f t="shared" si="18"/>
        <v>3.713395277</v>
      </c>
      <c r="E87" s="42">
        <f t="shared" si="18"/>
        <v>4.021728143</v>
      </c>
      <c r="F87" s="42">
        <f t="shared" si="18"/>
        <v>4.301248152</v>
      </c>
      <c r="G87" s="42">
        <f t="shared" si="18"/>
        <v>4.712003858</v>
      </c>
      <c r="H87" s="42">
        <f t="shared" si="18"/>
        <v>5.005561308</v>
      </c>
      <c r="I87" s="42">
        <f t="shared" si="18"/>
        <v>5.272072938</v>
      </c>
      <c r="J87" s="42">
        <f t="shared" si="18"/>
        <v>5.685089295</v>
      </c>
      <c r="K87" s="42">
        <f t="shared" si="18"/>
        <v>5.980981086</v>
      </c>
      <c r="L87" s="42">
        <f t="shared" si="18"/>
        <v>6.249826257</v>
      </c>
      <c r="M87" s="42">
        <f t="shared" si="18"/>
        <v>6.665004905</v>
      </c>
      <c r="N87" s="42">
        <f t="shared" si="18"/>
        <v>6.963026619</v>
      </c>
      <c r="O87" s="42">
        <f t="shared" si="18"/>
        <v>7.233937501</v>
      </c>
    </row>
    <row r="88">
      <c r="B88" s="30" t="s">
        <v>205</v>
      </c>
      <c r="C88" s="13">
        <v>3.0</v>
      </c>
      <c r="D88" s="72">
        <f t="shared" ref="D88:O88" si="19">count(D97:D109)</f>
        <v>6</v>
      </c>
      <c r="E88" s="72">
        <f t="shared" si="19"/>
        <v>7</v>
      </c>
      <c r="F88" s="72">
        <f t="shared" si="19"/>
        <v>7</v>
      </c>
      <c r="G88" s="72">
        <f t="shared" si="19"/>
        <v>7</v>
      </c>
      <c r="H88" s="72">
        <f t="shared" si="19"/>
        <v>7</v>
      </c>
      <c r="I88" s="72">
        <f t="shared" si="19"/>
        <v>7</v>
      </c>
      <c r="J88" s="72">
        <f t="shared" si="19"/>
        <v>7</v>
      </c>
      <c r="K88" s="72">
        <f t="shared" si="19"/>
        <v>8</v>
      </c>
      <c r="L88" s="72">
        <f t="shared" si="19"/>
        <v>8</v>
      </c>
      <c r="M88" s="72">
        <f t="shared" si="19"/>
        <v>8</v>
      </c>
      <c r="N88" s="72">
        <f t="shared" si="19"/>
        <v>9</v>
      </c>
      <c r="O88" s="72">
        <f t="shared" si="19"/>
        <v>9</v>
      </c>
    </row>
    <row r="89">
      <c r="B89" s="30" t="s">
        <v>206</v>
      </c>
      <c r="C89" s="45">
        <f t="shared" ref="C89:O89" si="20">C87-C88</f>
        <v>-0.05555555556</v>
      </c>
      <c r="D89" s="45">
        <f t="shared" si="20"/>
        <v>-2.286604723</v>
      </c>
      <c r="E89" s="45">
        <f t="shared" si="20"/>
        <v>-2.978271857</v>
      </c>
      <c r="F89" s="45">
        <f t="shared" si="20"/>
        <v>-2.698751848</v>
      </c>
      <c r="G89" s="45">
        <f t="shared" si="20"/>
        <v>-2.287996142</v>
      </c>
      <c r="H89" s="45">
        <f t="shared" si="20"/>
        <v>-1.994438692</v>
      </c>
      <c r="I89" s="45">
        <f t="shared" si="20"/>
        <v>-1.727927062</v>
      </c>
      <c r="J89" s="45">
        <f t="shared" si="20"/>
        <v>-1.314910705</v>
      </c>
      <c r="K89" s="45">
        <f t="shared" si="20"/>
        <v>-2.019018914</v>
      </c>
      <c r="L89" s="45">
        <f t="shared" si="20"/>
        <v>-1.750173743</v>
      </c>
      <c r="M89" s="45">
        <f t="shared" si="20"/>
        <v>-1.334995095</v>
      </c>
      <c r="N89" s="45">
        <f t="shared" si="20"/>
        <v>-2.036973381</v>
      </c>
      <c r="O89" s="45">
        <f t="shared" si="20"/>
        <v>-1.766062499</v>
      </c>
    </row>
    <row r="90">
      <c r="B90" s="30" t="s">
        <v>245</v>
      </c>
      <c r="C90" s="44">
        <f t="shared" ref="C90:O90" si="21">C85/C88</f>
        <v>17.66666667</v>
      </c>
      <c r="D90" s="44">
        <f t="shared" si="21"/>
        <v>11.14018583</v>
      </c>
      <c r="E90" s="44">
        <f t="shared" si="21"/>
        <v>10.34158665</v>
      </c>
      <c r="F90" s="44">
        <f t="shared" si="21"/>
        <v>11.06035239</v>
      </c>
      <c r="G90" s="44">
        <f t="shared" si="21"/>
        <v>12.11658135</v>
      </c>
      <c r="H90" s="44">
        <f t="shared" si="21"/>
        <v>12.87144336</v>
      </c>
      <c r="I90" s="44">
        <f t="shared" si="21"/>
        <v>13.55675898</v>
      </c>
      <c r="J90" s="44">
        <f t="shared" si="21"/>
        <v>14.61880104</v>
      </c>
      <c r="K90" s="44">
        <f t="shared" si="21"/>
        <v>13.45720744</v>
      </c>
      <c r="L90" s="44">
        <f t="shared" si="21"/>
        <v>14.06210908</v>
      </c>
      <c r="M90" s="44">
        <f t="shared" si="21"/>
        <v>14.99626104</v>
      </c>
      <c r="N90" s="44">
        <f t="shared" si="21"/>
        <v>13.92605324</v>
      </c>
      <c r="O90" s="44">
        <f t="shared" si="21"/>
        <v>14.467875</v>
      </c>
    </row>
    <row r="91">
      <c r="B91" s="30" t="s">
        <v>246</v>
      </c>
      <c r="C91" s="35">
        <f t="shared" ref="C91:O91" si="22">C84/C88</f>
        <v>74333.33333</v>
      </c>
      <c r="D91" s="35">
        <f t="shared" si="22"/>
        <v>51780</v>
      </c>
      <c r="E91" s="35">
        <f t="shared" si="22"/>
        <v>48761.25714</v>
      </c>
      <c r="F91" s="35">
        <f t="shared" si="22"/>
        <v>52745.60114</v>
      </c>
      <c r="G91" s="35">
        <f t="shared" si="22"/>
        <v>58835.6399</v>
      </c>
      <c r="H91" s="35">
        <f t="shared" si="22"/>
        <v>62947.57516</v>
      </c>
      <c r="I91" s="35">
        <f t="shared" si="22"/>
        <v>66689.43626</v>
      </c>
      <c r="J91" s="35">
        <f t="shared" si="22"/>
        <v>72737.38699</v>
      </c>
      <c r="K91" s="35">
        <f t="shared" si="22"/>
        <v>67209.64439</v>
      </c>
      <c r="L91" s="35">
        <f t="shared" si="22"/>
        <v>70453.2764</v>
      </c>
      <c r="M91" s="35">
        <f t="shared" si="22"/>
        <v>75717.48152</v>
      </c>
      <c r="N91" s="35">
        <f t="shared" si="22"/>
        <v>70450.36283</v>
      </c>
      <c r="O91" s="35">
        <f t="shared" si="22"/>
        <v>73313.16351</v>
      </c>
    </row>
    <row r="93">
      <c r="B93" s="11"/>
      <c r="C93" s="57" t="s">
        <v>247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>
      <c r="C94" s="12" t="s">
        <v>76</v>
      </c>
      <c r="D94" s="59" t="s">
        <v>77</v>
      </c>
      <c r="E94" s="7"/>
      <c r="F94" s="8"/>
      <c r="G94" s="59" t="s">
        <v>78</v>
      </c>
      <c r="H94" s="7"/>
      <c r="I94" s="8"/>
      <c r="J94" s="59" t="s">
        <v>79</v>
      </c>
      <c r="K94" s="7"/>
      <c r="L94" s="8"/>
      <c r="M94" s="59" t="s">
        <v>80</v>
      </c>
      <c r="N94" s="7"/>
      <c r="O94" s="8"/>
    </row>
    <row r="95">
      <c r="C95" s="12" t="s">
        <v>141</v>
      </c>
      <c r="D95" s="31" t="s">
        <v>81</v>
      </c>
      <c r="E95" s="31" t="s">
        <v>82</v>
      </c>
      <c r="F95" s="31" t="s">
        <v>83</v>
      </c>
      <c r="G95" s="31" t="s">
        <v>84</v>
      </c>
      <c r="H95" s="31" t="s">
        <v>85</v>
      </c>
      <c r="I95" s="31" t="s">
        <v>86</v>
      </c>
      <c r="J95" s="31" t="s">
        <v>87</v>
      </c>
      <c r="K95" s="31" t="s">
        <v>88</v>
      </c>
      <c r="L95" s="31" t="s">
        <v>89</v>
      </c>
      <c r="M95" s="31" t="s">
        <v>90</v>
      </c>
      <c r="N95" s="31" t="s">
        <v>91</v>
      </c>
      <c r="O95" s="31" t="s">
        <v>92</v>
      </c>
    </row>
    <row r="96">
      <c r="C96" s="30" t="s">
        <v>248</v>
      </c>
      <c r="D96" s="34">
        <f t="shared" ref="D96:O96" si="23">SUM(D97:D109)</f>
        <v>22500</v>
      </c>
      <c r="E96" s="34">
        <f t="shared" si="23"/>
        <v>26000</v>
      </c>
      <c r="F96" s="34">
        <f t="shared" si="23"/>
        <v>26000</v>
      </c>
      <c r="G96" s="34">
        <f t="shared" si="23"/>
        <v>29000</v>
      </c>
      <c r="H96" s="34">
        <f t="shared" si="23"/>
        <v>29000</v>
      </c>
      <c r="I96" s="34">
        <f t="shared" si="23"/>
        <v>29500</v>
      </c>
      <c r="J96" s="34">
        <f t="shared" si="23"/>
        <v>31000</v>
      </c>
      <c r="K96" s="34">
        <f t="shared" si="23"/>
        <v>35000</v>
      </c>
      <c r="L96" s="34">
        <f t="shared" si="23"/>
        <v>35500</v>
      </c>
      <c r="M96" s="34">
        <f t="shared" si="23"/>
        <v>39500</v>
      </c>
      <c r="N96" s="34">
        <f t="shared" si="23"/>
        <v>44000</v>
      </c>
      <c r="O96" s="34">
        <f t="shared" si="23"/>
        <v>44000</v>
      </c>
    </row>
    <row r="97">
      <c r="C97" s="60" t="s">
        <v>249</v>
      </c>
      <c r="D97" s="63">
        <v>4500.0</v>
      </c>
      <c r="E97" s="63">
        <v>4500.0</v>
      </c>
      <c r="F97" s="63">
        <v>4500.0</v>
      </c>
      <c r="G97" s="63">
        <v>5000.0</v>
      </c>
      <c r="H97" s="63">
        <v>5000.0</v>
      </c>
      <c r="I97" s="63">
        <v>5000.0</v>
      </c>
      <c r="J97" s="63">
        <v>5500.0</v>
      </c>
      <c r="K97" s="63">
        <v>5500.0</v>
      </c>
      <c r="L97" s="63">
        <v>5500.0</v>
      </c>
      <c r="M97" s="63">
        <v>6000.0</v>
      </c>
      <c r="N97" s="63">
        <v>6000.0</v>
      </c>
      <c r="O97" s="63">
        <v>6000.0</v>
      </c>
    </row>
    <row r="98">
      <c r="C98" s="60" t="s">
        <v>250</v>
      </c>
      <c r="D98" s="34">
        <v>4000.0</v>
      </c>
      <c r="E98" s="34">
        <v>4000.0</v>
      </c>
      <c r="F98" s="34">
        <v>4000.0</v>
      </c>
      <c r="G98" s="63">
        <v>4500.0</v>
      </c>
      <c r="H98" s="63">
        <v>4500.0</v>
      </c>
      <c r="I98" s="63">
        <v>4500.0</v>
      </c>
      <c r="J98" s="63">
        <v>5000.0</v>
      </c>
      <c r="K98" s="63">
        <v>5000.0</v>
      </c>
      <c r="L98" s="63">
        <v>5000.0</v>
      </c>
      <c r="M98" s="63">
        <v>5500.0</v>
      </c>
      <c r="N98" s="63">
        <v>5500.0</v>
      </c>
      <c r="O98" s="63">
        <v>5500.0</v>
      </c>
    </row>
    <row r="99">
      <c r="C99" s="60" t="s">
        <v>251</v>
      </c>
      <c r="D99" s="63">
        <v>5000.0</v>
      </c>
      <c r="E99" s="63">
        <v>5000.0</v>
      </c>
      <c r="F99" s="63">
        <v>5000.0</v>
      </c>
      <c r="G99" s="63">
        <v>5500.0</v>
      </c>
      <c r="H99" s="63">
        <v>5500.0</v>
      </c>
      <c r="I99" s="63">
        <v>5500.0</v>
      </c>
      <c r="J99" s="63">
        <v>5500.0</v>
      </c>
      <c r="K99" s="63">
        <v>5500.0</v>
      </c>
      <c r="L99" s="63">
        <v>5500.0</v>
      </c>
      <c r="M99" s="63">
        <v>6000.0</v>
      </c>
      <c r="N99" s="63">
        <v>6000.0</v>
      </c>
      <c r="O99" s="63">
        <v>6000.0</v>
      </c>
    </row>
    <row r="100">
      <c r="C100" s="30" t="s">
        <v>252</v>
      </c>
      <c r="D100" s="63">
        <v>4000.0</v>
      </c>
      <c r="E100" s="63">
        <v>4000.0</v>
      </c>
      <c r="F100" s="63">
        <v>4000.0</v>
      </c>
      <c r="G100" s="63">
        <v>4500.0</v>
      </c>
      <c r="H100" s="63">
        <v>4500.0</v>
      </c>
      <c r="I100" s="63">
        <v>4500.0</v>
      </c>
      <c r="J100" s="63">
        <v>5000.0</v>
      </c>
      <c r="K100" s="63">
        <v>5000.0</v>
      </c>
      <c r="L100" s="63">
        <v>5000.0</v>
      </c>
      <c r="M100" s="63">
        <v>5500.0</v>
      </c>
      <c r="N100" s="63">
        <v>5500.0</v>
      </c>
      <c r="O100" s="63">
        <v>5500.0</v>
      </c>
    </row>
    <row r="101">
      <c r="C101" s="60" t="s">
        <v>253</v>
      </c>
      <c r="D101" s="63">
        <v>1500.0</v>
      </c>
      <c r="E101" s="63">
        <v>1500.0</v>
      </c>
      <c r="F101" s="63">
        <v>1500.0</v>
      </c>
      <c r="G101" s="63">
        <v>2000.0</v>
      </c>
      <c r="H101" s="63">
        <v>2000.0</v>
      </c>
      <c r="I101" s="63">
        <v>2000.0</v>
      </c>
      <c r="J101" s="63">
        <v>2000.0</v>
      </c>
      <c r="K101" s="63">
        <v>2000.0</v>
      </c>
      <c r="L101" s="63">
        <v>2000.0</v>
      </c>
      <c r="M101" s="63">
        <v>3000.0</v>
      </c>
      <c r="N101" s="63">
        <v>3000.0</v>
      </c>
      <c r="O101" s="63">
        <v>3000.0</v>
      </c>
    </row>
    <row r="102">
      <c r="C102" s="30" t="s">
        <v>254</v>
      </c>
      <c r="D102" s="63">
        <v>3500.0</v>
      </c>
      <c r="E102" s="63">
        <v>3500.0</v>
      </c>
      <c r="F102" s="63">
        <v>3500.0</v>
      </c>
      <c r="G102" s="63">
        <v>4000.0</v>
      </c>
      <c r="H102" s="63">
        <v>4000.0</v>
      </c>
      <c r="I102" s="63">
        <v>4000.0</v>
      </c>
      <c r="J102" s="63">
        <v>4000.0</v>
      </c>
      <c r="K102" s="63">
        <v>4000.0</v>
      </c>
      <c r="L102" s="63">
        <v>4500.0</v>
      </c>
      <c r="M102" s="63">
        <v>4500.0</v>
      </c>
      <c r="N102" s="63">
        <v>4500.0</v>
      </c>
      <c r="O102" s="63">
        <v>4500.0</v>
      </c>
    </row>
    <row r="103">
      <c r="C103" s="54" t="s">
        <v>168</v>
      </c>
      <c r="D103" s="61"/>
      <c r="E103" s="63">
        <v>3500.0</v>
      </c>
      <c r="F103" s="63">
        <v>3500.0</v>
      </c>
      <c r="G103" s="63">
        <v>3500.0</v>
      </c>
      <c r="H103" s="63">
        <v>3500.0</v>
      </c>
      <c r="I103" s="63">
        <v>4000.0</v>
      </c>
      <c r="J103" s="63">
        <v>4000.0</v>
      </c>
      <c r="K103" s="63">
        <v>4000.0</v>
      </c>
      <c r="L103" s="63">
        <v>4000.0</v>
      </c>
      <c r="M103" s="63">
        <v>4500.0</v>
      </c>
      <c r="N103" s="63">
        <v>4500.0</v>
      </c>
      <c r="O103" s="63">
        <v>4500.0</v>
      </c>
    </row>
    <row r="104">
      <c r="C104" s="54" t="s">
        <v>168</v>
      </c>
      <c r="D104" s="35"/>
      <c r="E104" s="35"/>
      <c r="F104" s="35"/>
      <c r="G104" s="63"/>
      <c r="H104" s="63"/>
      <c r="I104" s="63"/>
      <c r="J104" s="63"/>
      <c r="K104" s="34">
        <v>4000.0</v>
      </c>
      <c r="L104" s="34">
        <v>4000.0</v>
      </c>
      <c r="M104" s="63">
        <v>4500.0</v>
      </c>
      <c r="N104" s="63">
        <v>4500.0</v>
      </c>
      <c r="O104" s="63">
        <v>4500.0</v>
      </c>
    </row>
    <row r="105">
      <c r="C105" s="54" t="s">
        <v>168</v>
      </c>
      <c r="D105" s="61"/>
      <c r="E105" s="61"/>
      <c r="F105" s="61"/>
      <c r="G105" s="61"/>
      <c r="H105" s="63"/>
      <c r="I105" s="63"/>
      <c r="J105" s="63"/>
      <c r="K105" s="63"/>
      <c r="L105" s="63"/>
      <c r="M105" s="63"/>
      <c r="N105" s="63">
        <v>4500.0</v>
      </c>
      <c r="O105" s="63">
        <v>4500.0</v>
      </c>
    </row>
    <row r="106">
      <c r="C106" s="54" t="s">
        <v>168</v>
      </c>
      <c r="D106" s="61"/>
      <c r="E106" s="61"/>
      <c r="F106" s="61"/>
      <c r="G106" s="61"/>
      <c r="H106" s="61"/>
      <c r="I106" s="61"/>
      <c r="J106" s="63"/>
      <c r="K106" s="63"/>
      <c r="L106" s="63"/>
      <c r="M106" s="63"/>
      <c r="N106" s="63"/>
      <c r="O106" s="63"/>
    </row>
    <row r="107">
      <c r="C107" s="54" t="s">
        <v>168</v>
      </c>
      <c r="D107" s="61"/>
      <c r="E107" s="61"/>
      <c r="F107" s="61"/>
      <c r="G107" s="61"/>
      <c r="H107" s="61"/>
      <c r="I107" s="61"/>
      <c r="J107" s="61"/>
      <c r="K107" s="63"/>
      <c r="L107" s="63"/>
      <c r="M107" s="63"/>
      <c r="N107" s="63"/>
      <c r="O107" s="63"/>
    </row>
    <row r="108">
      <c r="C108" s="54" t="s">
        <v>168</v>
      </c>
      <c r="D108" s="61"/>
      <c r="E108" s="61"/>
      <c r="F108" s="61"/>
      <c r="G108" s="61"/>
      <c r="H108" s="61"/>
      <c r="I108" s="61"/>
      <c r="J108" s="61"/>
      <c r="K108" s="61"/>
      <c r="L108" s="63"/>
      <c r="M108" s="63"/>
      <c r="N108" s="63"/>
      <c r="O108" s="63"/>
    </row>
    <row r="109">
      <c r="C109" s="54" t="s">
        <v>168</v>
      </c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3"/>
      <c r="O109" s="63"/>
    </row>
    <row r="111">
      <c r="C111" s="73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</row>
    <row r="112">
      <c r="B112" s="57" t="s">
        <v>255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>
      <c r="B113" s="55" t="s">
        <v>141</v>
      </c>
      <c r="C113" s="66" t="s">
        <v>92</v>
      </c>
      <c r="D113" s="61" t="s">
        <v>81</v>
      </c>
      <c r="E113" s="61" t="s">
        <v>82</v>
      </c>
      <c r="F113" s="61" t="s">
        <v>83</v>
      </c>
      <c r="G113" s="61" t="s">
        <v>84</v>
      </c>
      <c r="H113" s="61" t="s">
        <v>85</v>
      </c>
      <c r="I113" s="61" t="s">
        <v>86</v>
      </c>
      <c r="J113" s="61" t="s">
        <v>87</v>
      </c>
      <c r="K113" s="61" t="s">
        <v>88</v>
      </c>
      <c r="L113" s="61" t="s">
        <v>89</v>
      </c>
      <c r="M113" s="61" t="s">
        <v>90</v>
      </c>
      <c r="N113" s="61" t="s">
        <v>91</v>
      </c>
      <c r="O113" s="61" t="s">
        <v>92</v>
      </c>
    </row>
    <row r="114">
      <c r="B114" s="30" t="s">
        <v>244</v>
      </c>
      <c r="C114" s="45">
        <f t="shared" ref="C114:O114" si="24">C85</f>
        <v>53</v>
      </c>
      <c r="D114" s="45">
        <f t="shared" si="24"/>
        <v>66.84111498</v>
      </c>
      <c r="E114" s="45">
        <f t="shared" si="24"/>
        <v>72.39110658</v>
      </c>
      <c r="F114" s="45">
        <f t="shared" si="24"/>
        <v>77.42246674</v>
      </c>
      <c r="G114" s="45">
        <f t="shared" si="24"/>
        <v>84.81606944</v>
      </c>
      <c r="H114" s="45">
        <f t="shared" si="24"/>
        <v>90.10010354</v>
      </c>
      <c r="I114" s="45">
        <f t="shared" si="24"/>
        <v>94.89731288</v>
      </c>
      <c r="J114" s="45">
        <f t="shared" si="24"/>
        <v>102.3316073</v>
      </c>
      <c r="K114" s="45">
        <f t="shared" si="24"/>
        <v>107.6576595</v>
      </c>
      <c r="L114" s="45">
        <f t="shared" si="24"/>
        <v>112.4968726</v>
      </c>
      <c r="M114" s="45">
        <f t="shared" si="24"/>
        <v>119.9700883</v>
      </c>
      <c r="N114" s="45">
        <f t="shared" si="24"/>
        <v>125.3344791</v>
      </c>
      <c r="O114" s="45">
        <f t="shared" si="24"/>
        <v>130.210875</v>
      </c>
    </row>
    <row r="115">
      <c r="B115" s="55" t="s">
        <v>229</v>
      </c>
      <c r="C115" s="42">
        <v>20.0</v>
      </c>
      <c r="D115" s="42">
        <v>20.0</v>
      </c>
      <c r="E115" s="42">
        <v>20.0</v>
      </c>
      <c r="F115" s="42">
        <v>20.0</v>
      </c>
      <c r="G115" s="42">
        <v>20.0</v>
      </c>
      <c r="H115" s="42">
        <v>20.0</v>
      </c>
      <c r="I115" s="42">
        <v>20.0</v>
      </c>
      <c r="J115" s="42">
        <v>20.0</v>
      </c>
      <c r="K115" s="42">
        <v>20.0</v>
      </c>
      <c r="L115" s="42">
        <v>20.0</v>
      </c>
      <c r="M115" s="42">
        <v>20.0</v>
      </c>
      <c r="N115" s="42">
        <v>20.0</v>
      </c>
      <c r="O115" s="42">
        <v>20.0</v>
      </c>
    </row>
    <row r="116">
      <c r="B116" s="30" t="s">
        <v>230</v>
      </c>
      <c r="C116" s="45">
        <f t="shared" ref="C116:O116" si="25">C114/C115</f>
        <v>2.65</v>
      </c>
      <c r="D116" s="45">
        <f t="shared" si="25"/>
        <v>3.342055749</v>
      </c>
      <c r="E116" s="45">
        <f t="shared" si="25"/>
        <v>3.619555329</v>
      </c>
      <c r="F116" s="45">
        <f t="shared" si="25"/>
        <v>3.871123337</v>
      </c>
      <c r="G116" s="45">
        <f t="shared" si="25"/>
        <v>4.240803472</v>
      </c>
      <c r="H116" s="45">
        <f t="shared" si="25"/>
        <v>4.505005177</v>
      </c>
      <c r="I116" s="45">
        <f t="shared" si="25"/>
        <v>4.744865644</v>
      </c>
      <c r="J116" s="45">
        <f t="shared" si="25"/>
        <v>5.116580366</v>
      </c>
      <c r="K116" s="45">
        <f t="shared" si="25"/>
        <v>5.382882977</v>
      </c>
      <c r="L116" s="45">
        <f t="shared" si="25"/>
        <v>5.624843631</v>
      </c>
      <c r="M116" s="45">
        <f t="shared" si="25"/>
        <v>5.998504414</v>
      </c>
      <c r="N116" s="45">
        <f t="shared" si="25"/>
        <v>6.266723957</v>
      </c>
      <c r="O116" s="45">
        <f t="shared" si="25"/>
        <v>6.510543751</v>
      </c>
    </row>
    <row r="117">
      <c r="B117" s="30" t="s">
        <v>231</v>
      </c>
      <c r="C117" s="13">
        <v>1.0</v>
      </c>
      <c r="D117" s="68">
        <f t="shared" ref="D117:O117" si="26">count(D125:D135)</f>
        <v>3</v>
      </c>
      <c r="E117" s="68">
        <f t="shared" si="26"/>
        <v>4</v>
      </c>
      <c r="F117" s="68">
        <f t="shared" si="26"/>
        <v>4</v>
      </c>
      <c r="G117" s="68">
        <f t="shared" si="26"/>
        <v>5</v>
      </c>
      <c r="H117" s="68">
        <f t="shared" si="26"/>
        <v>5</v>
      </c>
      <c r="I117" s="68">
        <f t="shared" si="26"/>
        <v>5</v>
      </c>
      <c r="J117" s="68">
        <f t="shared" si="26"/>
        <v>6</v>
      </c>
      <c r="K117" s="68">
        <f t="shared" si="26"/>
        <v>6</v>
      </c>
      <c r="L117" s="68">
        <f t="shared" si="26"/>
        <v>6</v>
      </c>
      <c r="M117" s="68">
        <f t="shared" si="26"/>
        <v>7</v>
      </c>
      <c r="N117" s="68">
        <f t="shared" si="26"/>
        <v>7</v>
      </c>
      <c r="O117" s="68">
        <f t="shared" si="26"/>
        <v>7</v>
      </c>
    </row>
    <row r="118">
      <c r="B118" s="55" t="s">
        <v>206</v>
      </c>
      <c r="C118" s="45">
        <f t="shared" ref="C118:O118" si="27">C116-C117</f>
        <v>1.65</v>
      </c>
      <c r="D118" s="45">
        <f t="shared" si="27"/>
        <v>0.3420557491</v>
      </c>
      <c r="E118" s="45">
        <f t="shared" si="27"/>
        <v>-0.380444671</v>
      </c>
      <c r="F118" s="45">
        <f t="shared" si="27"/>
        <v>-0.1288766629</v>
      </c>
      <c r="G118" s="45">
        <f t="shared" si="27"/>
        <v>-0.7591965278</v>
      </c>
      <c r="H118" s="45">
        <f t="shared" si="27"/>
        <v>-0.4949948228</v>
      </c>
      <c r="I118" s="45">
        <f t="shared" si="27"/>
        <v>-0.2551343558</v>
      </c>
      <c r="J118" s="45">
        <f t="shared" si="27"/>
        <v>-0.8834196344</v>
      </c>
      <c r="K118" s="45">
        <f t="shared" si="27"/>
        <v>-0.6171170227</v>
      </c>
      <c r="L118" s="45">
        <f t="shared" si="27"/>
        <v>-0.3751563691</v>
      </c>
      <c r="M118" s="45">
        <f t="shared" si="27"/>
        <v>-1.001495586</v>
      </c>
      <c r="N118" s="45">
        <f t="shared" si="27"/>
        <v>-0.7332760431</v>
      </c>
      <c r="O118" s="45">
        <f t="shared" si="27"/>
        <v>-0.4894562493</v>
      </c>
    </row>
    <row r="119">
      <c r="B119" s="30" t="s">
        <v>232</v>
      </c>
      <c r="C119" s="44">
        <f t="shared" ref="C119:O119" si="28">C114/C117</f>
        <v>53</v>
      </c>
      <c r="D119" s="44">
        <f t="shared" si="28"/>
        <v>22.28037166</v>
      </c>
      <c r="E119" s="44">
        <f t="shared" si="28"/>
        <v>18.09777665</v>
      </c>
      <c r="F119" s="44">
        <f t="shared" si="28"/>
        <v>19.35561669</v>
      </c>
      <c r="G119" s="44">
        <f t="shared" si="28"/>
        <v>16.96321389</v>
      </c>
      <c r="H119" s="44">
        <f t="shared" si="28"/>
        <v>18.02002071</v>
      </c>
      <c r="I119" s="44">
        <f t="shared" si="28"/>
        <v>18.97946258</v>
      </c>
      <c r="J119" s="44">
        <f t="shared" si="28"/>
        <v>17.05526789</v>
      </c>
      <c r="K119" s="44">
        <f t="shared" si="28"/>
        <v>17.94294326</v>
      </c>
      <c r="L119" s="44">
        <f t="shared" si="28"/>
        <v>18.74947877</v>
      </c>
      <c r="M119" s="44">
        <f t="shared" si="28"/>
        <v>17.13858404</v>
      </c>
      <c r="N119" s="44">
        <f t="shared" si="28"/>
        <v>17.90492559</v>
      </c>
      <c r="O119" s="44">
        <f t="shared" si="28"/>
        <v>18.60155357</v>
      </c>
    </row>
    <row r="121">
      <c r="B121" s="2"/>
      <c r="C121" s="57" t="s">
        <v>255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</row>
    <row r="122">
      <c r="C122" s="12" t="s">
        <v>76</v>
      </c>
      <c r="D122" s="59" t="s">
        <v>77</v>
      </c>
      <c r="E122" s="7"/>
      <c r="F122" s="8"/>
      <c r="G122" s="59" t="s">
        <v>78</v>
      </c>
      <c r="H122" s="7"/>
      <c r="I122" s="8"/>
      <c r="J122" s="59" t="s">
        <v>79</v>
      </c>
      <c r="K122" s="7"/>
      <c r="L122" s="8"/>
      <c r="M122" s="59" t="s">
        <v>80</v>
      </c>
      <c r="N122" s="7"/>
      <c r="O122" s="8"/>
    </row>
    <row r="123">
      <c r="C123" s="12" t="s">
        <v>141</v>
      </c>
      <c r="D123" s="31" t="s">
        <v>81</v>
      </c>
      <c r="E123" s="31" t="s">
        <v>82</v>
      </c>
      <c r="F123" s="31" t="s">
        <v>83</v>
      </c>
      <c r="G123" s="31" t="s">
        <v>84</v>
      </c>
      <c r="H123" s="31" t="s">
        <v>85</v>
      </c>
      <c r="I123" s="31" t="s">
        <v>86</v>
      </c>
      <c r="J123" s="31" t="s">
        <v>87</v>
      </c>
      <c r="K123" s="31" t="s">
        <v>88</v>
      </c>
      <c r="L123" s="31" t="s">
        <v>89</v>
      </c>
      <c r="M123" s="31" t="s">
        <v>90</v>
      </c>
      <c r="N123" s="31" t="s">
        <v>91</v>
      </c>
      <c r="O123" s="31" t="s">
        <v>92</v>
      </c>
    </row>
    <row r="124">
      <c r="C124" s="30" t="s">
        <v>256</v>
      </c>
      <c r="D124" s="34">
        <f t="shared" ref="D124:O124" si="29">SUM(D125:D135)</f>
        <v>9500</v>
      </c>
      <c r="E124" s="34">
        <f t="shared" si="29"/>
        <v>12500</v>
      </c>
      <c r="F124" s="34">
        <f t="shared" si="29"/>
        <v>12500</v>
      </c>
      <c r="G124" s="34">
        <f t="shared" si="29"/>
        <v>16000</v>
      </c>
      <c r="H124" s="34">
        <f t="shared" si="29"/>
        <v>16000</v>
      </c>
      <c r="I124" s="34">
        <f t="shared" si="29"/>
        <v>16000</v>
      </c>
      <c r="J124" s="34">
        <f t="shared" si="29"/>
        <v>21000</v>
      </c>
      <c r="K124" s="34">
        <f t="shared" si="29"/>
        <v>21000</v>
      </c>
      <c r="L124" s="34">
        <f t="shared" si="29"/>
        <v>21000</v>
      </c>
      <c r="M124" s="34">
        <f t="shared" si="29"/>
        <v>25000</v>
      </c>
      <c r="N124" s="34">
        <f t="shared" si="29"/>
        <v>25000</v>
      </c>
      <c r="O124" s="34">
        <f t="shared" si="29"/>
        <v>25000</v>
      </c>
    </row>
    <row r="125">
      <c r="C125" s="60" t="s">
        <v>257</v>
      </c>
      <c r="D125" s="63">
        <v>3000.0</v>
      </c>
      <c r="E125" s="63">
        <v>3000.0</v>
      </c>
      <c r="F125" s="63">
        <v>3000.0</v>
      </c>
      <c r="G125" s="63">
        <v>3000.0</v>
      </c>
      <c r="H125" s="63">
        <v>3000.0</v>
      </c>
      <c r="I125" s="63">
        <v>3000.0</v>
      </c>
      <c r="J125" s="63">
        <v>3500.0</v>
      </c>
      <c r="K125" s="63">
        <v>3500.0</v>
      </c>
      <c r="L125" s="63">
        <v>3500.0</v>
      </c>
      <c r="M125" s="63">
        <v>4000.0</v>
      </c>
      <c r="N125" s="63">
        <v>4000.0</v>
      </c>
      <c r="O125" s="63">
        <v>4000.0</v>
      </c>
    </row>
    <row r="126">
      <c r="C126" s="54" t="s">
        <v>258</v>
      </c>
      <c r="D126" s="63">
        <v>3500.0</v>
      </c>
      <c r="E126" s="63">
        <v>3500.0</v>
      </c>
      <c r="F126" s="63">
        <v>3500.0</v>
      </c>
      <c r="G126" s="63">
        <v>4000.0</v>
      </c>
      <c r="H126" s="63">
        <v>4000.0</v>
      </c>
      <c r="I126" s="63">
        <v>4000.0</v>
      </c>
      <c r="J126" s="63">
        <v>4500.0</v>
      </c>
      <c r="K126" s="63">
        <v>4500.0</v>
      </c>
      <c r="L126" s="63">
        <v>4500.0</v>
      </c>
      <c r="M126" s="63">
        <v>5000.0</v>
      </c>
      <c r="N126" s="63">
        <v>5000.0</v>
      </c>
      <c r="O126" s="63">
        <v>5000.0</v>
      </c>
    </row>
    <row r="127">
      <c r="C127" s="54" t="s">
        <v>259</v>
      </c>
      <c r="D127" s="63">
        <v>3000.0</v>
      </c>
      <c r="E127" s="63">
        <v>3000.0</v>
      </c>
      <c r="F127" s="63">
        <v>3000.0</v>
      </c>
      <c r="G127" s="63">
        <v>3000.0</v>
      </c>
      <c r="H127" s="63">
        <v>3000.0</v>
      </c>
      <c r="I127" s="63">
        <v>3000.0</v>
      </c>
      <c r="J127" s="63">
        <v>3500.0</v>
      </c>
      <c r="K127" s="63">
        <v>3500.0</v>
      </c>
      <c r="L127" s="63">
        <v>3500.0</v>
      </c>
      <c r="M127" s="63">
        <v>3500.0</v>
      </c>
      <c r="N127" s="63">
        <v>3500.0</v>
      </c>
      <c r="O127" s="63">
        <v>3500.0</v>
      </c>
    </row>
    <row r="128">
      <c r="C128" s="54" t="s">
        <v>168</v>
      </c>
      <c r="D128" s="63"/>
      <c r="E128" s="63">
        <v>3000.0</v>
      </c>
      <c r="F128" s="63">
        <v>3000.0</v>
      </c>
      <c r="G128" s="63">
        <v>3000.0</v>
      </c>
      <c r="H128" s="63">
        <v>3000.0</v>
      </c>
      <c r="I128" s="63">
        <v>3000.0</v>
      </c>
      <c r="J128" s="63">
        <v>3500.0</v>
      </c>
      <c r="K128" s="63">
        <v>3500.0</v>
      </c>
      <c r="L128" s="63">
        <v>3500.0</v>
      </c>
      <c r="M128" s="63">
        <v>3500.0</v>
      </c>
      <c r="N128" s="63">
        <v>3500.0</v>
      </c>
      <c r="O128" s="63">
        <v>3500.0</v>
      </c>
    </row>
    <row r="129">
      <c r="C129" s="54" t="s">
        <v>168</v>
      </c>
      <c r="D129" s="63"/>
      <c r="E129" s="63"/>
      <c r="F129" s="63"/>
      <c r="G129" s="63">
        <v>3000.0</v>
      </c>
      <c r="H129" s="63">
        <v>3000.0</v>
      </c>
      <c r="I129" s="63">
        <v>3000.0</v>
      </c>
      <c r="J129" s="63">
        <v>3000.0</v>
      </c>
      <c r="K129" s="63">
        <v>3000.0</v>
      </c>
      <c r="L129" s="63">
        <v>3000.0</v>
      </c>
      <c r="M129" s="63">
        <v>3000.0</v>
      </c>
      <c r="N129" s="63">
        <v>3000.0</v>
      </c>
      <c r="O129" s="63">
        <v>3000.0</v>
      </c>
    </row>
    <row r="130">
      <c r="C130" s="54" t="s">
        <v>168</v>
      </c>
      <c r="D130" s="63"/>
      <c r="E130" s="63"/>
      <c r="F130" s="63"/>
      <c r="G130" s="63"/>
      <c r="H130" s="63"/>
      <c r="I130" s="63"/>
      <c r="J130" s="63">
        <v>3000.0</v>
      </c>
      <c r="K130" s="63">
        <v>3000.0</v>
      </c>
      <c r="L130" s="63">
        <v>3000.0</v>
      </c>
      <c r="M130" s="63">
        <v>3000.0</v>
      </c>
      <c r="N130" s="63">
        <v>3000.0</v>
      </c>
      <c r="O130" s="63">
        <v>3000.0</v>
      </c>
    </row>
    <row r="131">
      <c r="C131" s="54" t="s">
        <v>168</v>
      </c>
      <c r="D131" s="63"/>
      <c r="E131" s="63"/>
      <c r="F131" s="63"/>
      <c r="G131" s="63"/>
      <c r="H131" s="63"/>
      <c r="I131" s="63"/>
      <c r="J131" s="63"/>
      <c r="K131" s="63"/>
      <c r="L131" s="63"/>
      <c r="M131" s="63">
        <v>3000.0</v>
      </c>
      <c r="N131" s="63">
        <v>3000.0</v>
      </c>
      <c r="O131" s="63">
        <v>3000.0</v>
      </c>
    </row>
    <row r="132">
      <c r="C132" s="54" t="s">
        <v>168</v>
      </c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>
      <c r="C133" s="54" t="s">
        <v>168</v>
      </c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>
      <c r="C134" s="54" t="s">
        <v>168</v>
      </c>
      <c r="D134" s="69"/>
      <c r="E134" s="69"/>
      <c r="F134" s="69"/>
      <c r="G134" s="63"/>
      <c r="H134" s="63"/>
      <c r="I134" s="63"/>
      <c r="J134" s="63"/>
      <c r="K134" s="63"/>
      <c r="L134" s="63"/>
      <c r="M134" s="63"/>
      <c r="N134" s="63"/>
      <c r="O134" s="63"/>
    </row>
    <row r="135">
      <c r="C135" s="54" t="s">
        <v>168</v>
      </c>
      <c r="D135" s="65"/>
      <c r="E135" s="65"/>
      <c r="F135" s="65"/>
      <c r="G135" s="65"/>
      <c r="H135" s="65"/>
      <c r="I135" s="65"/>
      <c r="J135" s="63"/>
      <c r="K135" s="63"/>
      <c r="L135" s="63"/>
      <c r="M135" s="63"/>
      <c r="N135" s="63"/>
      <c r="O135" s="63"/>
    </row>
    <row r="136">
      <c r="C136" s="73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</row>
    <row r="137">
      <c r="C137" s="73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</row>
    <row r="138">
      <c r="B138" s="57" t="s">
        <v>260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>
      <c r="B139" s="30" t="s">
        <v>141</v>
      </c>
      <c r="C139" s="30" t="s">
        <v>92</v>
      </c>
      <c r="D139" s="13" t="s">
        <v>81</v>
      </c>
      <c r="E139" s="13" t="s">
        <v>82</v>
      </c>
      <c r="F139" s="13" t="s">
        <v>83</v>
      </c>
      <c r="G139" s="13" t="s">
        <v>84</v>
      </c>
      <c r="H139" s="13" t="s">
        <v>85</v>
      </c>
      <c r="I139" s="13" t="s">
        <v>86</v>
      </c>
      <c r="J139" s="13" t="s">
        <v>87</v>
      </c>
      <c r="K139" s="13" t="s">
        <v>88</v>
      </c>
      <c r="L139" s="13" t="s">
        <v>89</v>
      </c>
      <c r="M139" s="13" t="s">
        <v>90</v>
      </c>
      <c r="N139" s="13" t="s">
        <v>91</v>
      </c>
      <c r="O139" s="13" t="s">
        <v>92</v>
      </c>
    </row>
    <row r="140">
      <c r="B140" s="30" t="s">
        <v>261</v>
      </c>
      <c r="C140" s="34">
        <f>Revenue!C17</f>
        <v>180000</v>
      </c>
      <c r="D140" s="34">
        <f>Revenue!D17</f>
        <v>206800</v>
      </c>
      <c r="E140" s="34">
        <f>Revenue!E17</f>
        <v>231188</v>
      </c>
      <c r="F140" s="34">
        <f>Revenue!F17</f>
        <v>253381.08</v>
      </c>
      <c r="G140" s="34">
        <f>Revenue!G17</f>
        <v>278576.7828</v>
      </c>
      <c r="H140" s="34">
        <f>Revenue!H17</f>
        <v>301504.8723</v>
      </c>
      <c r="I140" s="34">
        <f>Revenue!I17</f>
        <v>322369.4338</v>
      </c>
      <c r="J140" s="34">
        <f>Revenue!J17</f>
        <v>347356.1848</v>
      </c>
      <c r="K140" s="34">
        <f>Revenue!K17</f>
        <v>370094.1282</v>
      </c>
      <c r="L140" s="34">
        <f>Revenue!L17</f>
        <v>390785.6566</v>
      </c>
      <c r="M140" s="34">
        <f>Revenue!M17</f>
        <v>415614.9475</v>
      </c>
      <c r="N140" s="34">
        <f>Revenue!N17</f>
        <v>438209.6023</v>
      </c>
      <c r="O140" s="34">
        <f>Revenue!O17</f>
        <v>458770.738</v>
      </c>
      <c r="P140" s="37">
        <f>SUM(D140:O140)</f>
        <v>4014651.426</v>
      </c>
    </row>
    <row r="141">
      <c r="B141" s="30" t="s">
        <v>262</v>
      </c>
      <c r="C141" s="45">
        <f>Revenue!C19</f>
        <v>85</v>
      </c>
      <c r="D141" s="45">
        <f>Revenue!D19</f>
        <v>96.1626048</v>
      </c>
      <c r="E141" s="45">
        <f>Revenue!E19</f>
        <v>106.3004432</v>
      </c>
      <c r="F141" s="45">
        <f>Revenue!F19</f>
        <v>115.5106921</v>
      </c>
      <c r="G141" s="45">
        <f>Revenue!G19</f>
        <v>126.0609104</v>
      </c>
      <c r="H141" s="45">
        <f>Revenue!H19</f>
        <v>135.6503482</v>
      </c>
      <c r="I141" s="45">
        <f>Revenue!I19</f>
        <v>144.367761</v>
      </c>
      <c r="J141" s="45">
        <f>Revenue!J19</f>
        <v>154.9072494</v>
      </c>
      <c r="K141" s="45">
        <f>Revenue!K19</f>
        <v>164.4908747</v>
      </c>
      <c r="L141" s="45">
        <f>Revenue!L19</f>
        <v>173.2059871</v>
      </c>
      <c r="M141" s="45">
        <f>Revenue!M19</f>
        <v>183.7439259</v>
      </c>
      <c r="N141" s="45">
        <f>Revenue!N19</f>
        <v>193.3284646</v>
      </c>
      <c r="O141" s="45">
        <f>Revenue!O19</f>
        <v>202.0462356</v>
      </c>
    </row>
    <row r="142">
      <c r="B142" s="30" t="s">
        <v>229</v>
      </c>
      <c r="C142" s="42">
        <v>20.0</v>
      </c>
      <c r="D142" s="42">
        <v>18.0</v>
      </c>
      <c r="E142" s="42">
        <v>18.0</v>
      </c>
      <c r="F142" s="42">
        <v>18.0</v>
      </c>
      <c r="G142" s="42">
        <v>18.0</v>
      </c>
      <c r="H142" s="42">
        <v>18.0</v>
      </c>
      <c r="I142" s="42">
        <v>18.0</v>
      </c>
      <c r="J142" s="42">
        <v>18.0</v>
      </c>
      <c r="K142" s="42">
        <v>18.0</v>
      </c>
      <c r="L142" s="42">
        <v>18.0</v>
      </c>
      <c r="M142" s="42">
        <v>18.0</v>
      </c>
      <c r="N142" s="42">
        <v>18.0</v>
      </c>
      <c r="O142" s="42">
        <v>18.0</v>
      </c>
    </row>
    <row r="143">
      <c r="B143" s="30" t="s">
        <v>204</v>
      </c>
      <c r="C143" s="42">
        <f t="shared" ref="C143:O143" si="30">C141/C142</f>
        <v>4.25</v>
      </c>
      <c r="D143" s="42">
        <f t="shared" si="30"/>
        <v>5.342366933</v>
      </c>
      <c r="E143" s="42">
        <f t="shared" si="30"/>
        <v>5.905580178</v>
      </c>
      <c r="F143" s="42">
        <f t="shared" si="30"/>
        <v>6.417260672</v>
      </c>
      <c r="G143" s="42">
        <f t="shared" si="30"/>
        <v>7.00338391</v>
      </c>
      <c r="H143" s="42">
        <f t="shared" si="30"/>
        <v>7.536130454</v>
      </c>
      <c r="I143" s="42">
        <f t="shared" si="30"/>
        <v>8.020431164</v>
      </c>
      <c r="J143" s="42">
        <f t="shared" si="30"/>
        <v>8.605958303</v>
      </c>
      <c r="K143" s="42">
        <f t="shared" si="30"/>
        <v>9.13838193</v>
      </c>
      <c r="L143" s="42">
        <f t="shared" si="30"/>
        <v>9.622554838</v>
      </c>
      <c r="M143" s="42">
        <f t="shared" si="30"/>
        <v>10.20799588</v>
      </c>
      <c r="N143" s="42">
        <f t="shared" si="30"/>
        <v>10.74047025</v>
      </c>
      <c r="O143" s="42">
        <f t="shared" si="30"/>
        <v>11.22479087</v>
      </c>
    </row>
    <row r="144">
      <c r="B144" s="30" t="s">
        <v>205</v>
      </c>
      <c r="C144" s="13">
        <v>6.0</v>
      </c>
      <c r="D144" s="72">
        <f t="shared" ref="D144:O144" si="31">count(D153:D167)</f>
        <v>6</v>
      </c>
      <c r="E144" s="72">
        <f t="shared" si="31"/>
        <v>7</v>
      </c>
      <c r="F144" s="72">
        <f t="shared" si="31"/>
        <v>8</v>
      </c>
      <c r="G144" s="72">
        <f t="shared" si="31"/>
        <v>8</v>
      </c>
      <c r="H144" s="72">
        <f t="shared" si="31"/>
        <v>9</v>
      </c>
      <c r="I144" s="72">
        <f t="shared" si="31"/>
        <v>9</v>
      </c>
      <c r="J144" s="72">
        <f t="shared" si="31"/>
        <v>9</v>
      </c>
      <c r="K144" s="72">
        <f t="shared" si="31"/>
        <v>9</v>
      </c>
      <c r="L144" s="72">
        <f t="shared" si="31"/>
        <v>10</v>
      </c>
      <c r="M144" s="72">
        <f t="shared" si="31"/>
        <v>10</v>
      </c>
      <c r="N144" s="72">
        <f t="shared" si="31"/>
        <v>11</v>
      </c>
      <c r="O144" s="72">
        <f t="shared" si="31"/>
        <v>11</v>
      </c>
    </row>
    <row r="145">
      <c r="B145" s="30" t="s">
        <v>206</v>
      </c>
      <c r="C145" s="45">
        <f t="shared" ref="C145:O145" si="32">C143-C144</f>
        <v>-1.75</v>
      </c>
      <c r="D145" s="45">
        <f t="shared" si="32"/>
        <v>-0.6576330669</v>
      </c>
      <c r="E145" s="45">
        <f t="shared" si="32"/>
        <v>-1.094419822</v>
      </c>
      <c r="F145" s="45">
        <f t="shared" si="32"/>
        <v>-1.582739328</v>
      </c>
      <c r="G145" s="45">
        <f t="shared" si="32"/>
        <v>-0.9966160896</v>
      </c>
      <c r="H145" s="45">
        <f t="shared" si="32"/>
        <v>-1.463869546</v>
      </c>
      <c r="I145" s="45">
        <f t="shared" si="32"/>
        <v>-0.979568836</v>
      </c>
      <c r="J145" s="45">
        <f t="shared" si="32"/>
        <v>-0.3940416973</v>
      </c>
      <c r="K145" s="45">
        <f t="shared" si="32"/>
        <v>0.1383819299</v>
      </c>
      <c r="L145" s="45">
        <f t="shared" si="32"/>
        <v>-0.3774451621</v>
      </c>
      <c r="M145" s="45">
        <f t="shared" si="32"/>
        <v>0.2079958847</v>
      </c>
      <c r="N145" s="45">
        <f t="shared" si="32"/>
        <v>-0.2595297456</v>
      </c>
      <c r="O145" s="45">
        <f t="shared" si="32"/>
        <v>0.224790867</v>
      </c>
    </row>
    <row r="146">
      <c r="B146" s="30" t="s">
        <v>245</v>
      </c>
      <c r="C146" s="44">
        <f t="shared" ref="C146:O146" si="33">C141/C144</f>
        <v>14.16666667</v>
      </c>
      <c r="D146" s="44">
        <f t="shared" si="33"/>
        <v>16.0271008</v>
      </c>
      <c r="E146" s="44">
        <f t="shared" si="33"/>
        <v>15.1857776</v>
      </c>
      <c r="F146" s="44">
        <f t="shared" si="33"/>
        <v>14.43883651</v>
      </c>
      <c r="G146" s="44">
        <f t="shared" si="33"/>
        <v>15.7576138</v>
      </c>
      <c r="H146" s="44">
        <f t="shared" si="33"/>
        <v>15.07226091</v>
      </c>
      <c r="I146" s="44">
        <f t="shared" si="33"/>
        <v>16.04086233</v>
      </c>
      <c r="J146" s="44">
        <f t="shared" si="33"/>
        <v>17.21191661</v>
      </c>
      <c r="K146" s="44">
        <f t="shared" si="33"/>
        <v>18.27676386</v>
      </c>
      <c r="L146" s="44">
        <f t="shared" si="33"/>
        <v>17.32059871</v>
      </c>
      <c r="M146" s="44">
        <f t="shared" si="33"/>
        <v>18.37439259</v>
      </c>
      <c r="N146" s="44">
        <f t="shared" si="33"/>
        <v>17.57531496</v>
      </c>
      <c r="O146" s="44">
        <f t="shared" si="33"/>
        <v>18.3678396</v>
      </c>
    </row>
    <row r="147">
      <c r="B147" s="30" t="s">
        <v>246</v>
      </c>
      <c r="C147" s="35">
        <f t="shared" ref="C147:O147" si="34">C140/C144</f>
        <v>30000</v>
      </c>
      <c r="D147" s="35">
        <f t="shared" si="34"/>
        <v>34466.66667</v>
      </c>
      <c r="E147" s="35">
        <f t="shared" si="34"/>
        <v>33026.85714</v>
      </c>
      <c r="F147" s="35">
        <f t="shared" si="34"/>
        <v>31672.635</v>
      </c>
      <c r="G147" s="35">
        <f t="shared" si="34"/>
        <v>34822.09785</v>
      </c>
      <c r="H147" s="35">
        <f t="shared" si="34"/>
        <v>33500.54137</v>
      </c>
      <c r="I147" s="35">
        <f t="shared" si="34"/>
        <v>35818.82598</v>
      </c>
      <c r="J147" s="35">
        <f t="shared" si="34"/>
        <v>38595.13164</v>
      </c>
      <c r="K147" s="35">
        <f t="shared" si="34"/>
        <v>41121.5698</v>
      </c>
      <c r="L147" s="35">
        <f t="shared" si="34"/>
        <v>39078.56566</v>
      </c>
      <c r="M147" s="35">
        <f t="shared" si="34"/>
        <v>41561.49475</v>
      </c>
      <c r="N147" s="35">
        <f t="shared" si="34"/>
        <v>39837.23657</v>
      </c>
      <c r="O147" s="35">
        <f t="shared" si="34"/>
        <v>41706.43073</v>
      </c>
    </row>
    <row r="149">
      <c r="C149" s="57" t="s">
        <v>263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>
      <c r="C150" s="12" t="s">
        <v>76</v>
      </c>
      <c r="D150" s="59" t="s">
        <v>77</v>
      </c>
      <c r="E150" s="7"/>
      <c r="F150" s="8"/>
      <c r="G150" s="59" t="s">
        <v>78</v>
      </c>
      <c r="H150" s="7"/>
      <c r="I150" s="8"/>
      <c r="J150" s="59" t="s">
        <v>79</v>
      </c>
      <c r="K150" s="7"/>
      <c r="L150" s="8"/>
      <c r="M150" s="59" t="s">
        <v>80</v>
      </c>
      <c r="N150" s="7"/>
      <c r="O150" s="8"/>
    </row>
    <row r="151">
      <c r="C151" s="12" t="s">
        <v>141</v>
      </c>
      <c r="D151" s="31" t="s">
        <v>81</v>
      </c>
      <c r="E151" s="31" t="s">
        <v>82</v>
      </c>
      <c r="F151" s="31" t="s">
        <v>83</v>
      </c>
      <c r="G151" s="31" t="s">
        <v>84</v>
      </c>
      <c r="H151" s="31" t="s">
        <v>85</v>
      </c>
      <c r="I151" s="31" t="s">
        <v>86</v>
      </c>
      <c r="J151" s="31" t="s">
        <v>87</v>
      </c>
      <c r="K151" s="31" t="s">
        <v>88</v>
      </c>
      <c r="L151" s="31" t="s">
        <v>89</v>
      </c>
      <c r="M151" s="31" t="s">
        <v>90</v>
      </c>
      <c r="N151" s="31" t="s">
        <v>91</v>
      </c>
      <c r="O151" s="31" t="s">
        <v>92</v>
      </c>
    </row>
    <row r="152">
      <c r="C152" s="30" t="s">
        <v>264</v>
      </c>
      <c r="D152" s="34">
        <f t="shared" ref="D152:O152" si="35">SUM(D153:D167)</f>
        <v>23000</v>
      </c>
      <c r="E152" s="34">
        <f t="shared" si="35"/>
        <v>24500</v>
      </c>
      <c r="F152" s="34">
        <f t="shared" si="35"/>
        <v>27500</v>
      </c>
      <c r="G152" s="34">
        <f t="shared" si="35"/>
        <v>29500</v>
      </c>
      <c r="H152" s="34">
        <f t="shared" si="35"/>
        <v>32500</v>
      </c>
      <c r="I152" s="34">
        <f t="shared" si="35"/>
        <v>32500</v>
      </c>
      <c r="J152" s="34">
        <f t="shared" si="35"/>
        <v>33500</v>
      </c>
      <c r="K152" s="34">
        <f t="shared" si="35"/>
        <v>34500</v>
      </c>
      <c r="L152" s="34">
        <f t="shared" si="35"/>
        <v>38000</v>
      </c>
      <c r="M152" s="34">
        <f t="shared" si="35"/>
        <v>39500</v>
      </c>
      <c r="N152" s="34">
        <f t="shared" si="35"/>
        <v>42500</v>
      </c>
      <c r="O152" s="34">
        <f t="shared" si="35"/>
        <v>44500</v>
      </c>
    </row>
    <row r="153">
      <c r="C153" s="60" t="s">
        <v>265</v>
      </c>
      <c r="D153" s="63">
        <v>4000.0</v>
      </c>
      <c r="E153" s="63">
        <v>4000.0</v>
      </c>
      <c r="F153" s="63">
        <v>4000.0</v>
      </c>
      <c r="G153" s="63">
        <v>4000.0</v>
      </c>
      <c r="H153" s="63">
        <v>4000.0</v>
      </c>
      <c r="I153" s="63">
        <v>4000.0</v>
      </c>
      <c r="J153" s="61">
        <v>4500.0</v>
      </c>
      <c r="K153" s="61">
        <v>4500.0</v>
      </c>
      <c r="L153" s="61">
        <v>4500.0</v>
      </c>
      <c r="M153" s="63">
        <v>5000.0</v>
      </c>
      <c r="N153" s="63">
        <v>5000.0</v>
      </c>
      <c r="O153" s="63">
        <v>5000.0</v>
      </c>
    </row>
    <row r="154">
      <c r="C154" s="60" t="s">
        <v>266</v>
      </c>
      <c r="D154" s="63">
        <v>4000.0</v>
      </c>
      <c r="E154" s="63">
        <v>4000.0</v>
      </c>
      <c r="F154" s="63">
        <v>4000.0</v>
      </c>
      <c r="G154" s="61">
        <v>5000.0</v>
      </c>
      <c r="H154" s="61">
        <v>5000.0</v>
      </c>
      <c r="I154" s="61">
        <v>5000.0</v>
      </c>
      <c r="J154" s="61">
        <v>5000.0</v>
      </c>
      <c r="K154" s="61">
        <v>5500.0</v>
      </c>
      <c r="L154" s="61">
        <v>5500.0</v>
      </c>
      <c r="M154" s="61">
        <v>5500.0</v>
      </c>
      <c r="N154" s="61">
        <v>5500.0</v>
      </c>
      <c r="O154" s="61">
        <v>5500.0</v>
      </c>
    </row>
    <row r="155">
      <c r="C155" s="60" t="s">
        <v>267</v>
      </c>
      <c r="D155" s="61">
        <v>4000.0</v>
      </c>
      <c r="E155" s="61">
        <v>4000.0</v>
      </c>
      <c r="F155" s="61">
        <v>4000.0</v>
      </c>
      <c r="G155" s="61">
        <v>4500.0</v>
      </c>
      <c r="H155" s="61">
        <v>4500.0</v>
      </c>
      <c r="I155" s="61">
        <v>4500.0</v>
      </c>
      <c r="J155" s="61">
        <v>4500.0</v>
      </c>
      <c r="K155" s="61">
        <v>5000.0</v>
      </c>
      <c r="L155" s="61">
        <v>5000.0</v>
      </c>
      <c r="M155" s="61">
        <v>5500.0</v>
      </c>
      <c r="N155" s="61">
        <v>5500.0</v>
      </c>
      <c r="O155" s="61">
        <v>5500.0</v>
      </c>
    </row>
    <row r="156">
      <c r="C156" s="60" t="s">
        <v>268</v>
      </c>
      <c r="D156" s="61">
        <v>4000.0</v>
      </c>
      <c r="E156" s="61">
        <v>4000.0</v>
      </c>
      <c r="F156" s="61">
        <v>4000.0</v>
      </c>
      <c r="G156" s="61">
        <v>4500.0</v>
      </c>
      <c r="H156" s="61">
        <v>4500.0</v>
      </c>
      <c r="I156" s="61">
        <v>4500.0</v>
      </c>
      <c r="J156" s="61">
        <v>5000.0</v>
      </c>
      <c r="K156" s="61">
        <v>5000.0</v>
      </c>
      <c r="L156" s="61">
        <v>5000.0</v>
      </c>
      <c r="M156" s="61">
        <v>5500.0</v>
      </c>
      <c r="N156" s="61">
        <v>5500.0</v>
      </c>
      <c r="O156" s="61">
        <v>5500.0</v>
      </c>
    </row>
    <row r="157">
      <c r="C157" s="30" t="s">
        <v>269</v>
      </c>
      <c r="D157" s="63">
        <v>3000.0</v>
      </c>
      <c r="E157" s="63">
        <v>3000.0</v>
      </c>
      <c r="F157" s="63">
        <v>3000.0</v>
      </c>
      <c r="G157" s="63">
        <v>3000.0</v>
      </c>
      <c r="H157" s="63">
        <v>3000.0</v>
      </c>
      <c r="I157" s="63">
        <v>3000.0</v>
      </c>
      <c r="J157" s="63">
        <v>3000.0</v>
      </c>
      <c r="K157" s="63">
        <v>3000.0</v>
      </c>
      <c r="L157" s="61">
        <v>3500.0</v>
      </c>
      <c r="M157" s="61">
        <v>3500.0</v>
      </c>
      <c r="N157" s="61">
        <v>3500.0</v>
      </c>
      <c r="O157" s="61">
        <v>3500.0</v>
      </c>
    </row>
    <row r="158">
      <c r="C158" s="30" t="s">
        <v>270</v>
      </c>
      <c r="D158" s="63">
        <v>4000.0</v>
      </c>
      <c r="E158" s="63">
        <v>4000.0</v>
      </c>
      <c r="F158" s="63">
        <v>4000.0</v>
      </c>
      <c r="G158" s="63">
        <v>4000.0</v>
      </c>
      <c r="H158" s="63">
        <v>4000.0</v>
      </c>
      <c r="I158" s="63">
        <v>4000.0</v>
      </c>
      <c r="J158" s="63">
        <v>4000.0</v>
      </c>
      <c r="K158" s="63">
        <v>4000.0</v>
      </c>
      <c r="L158" s="63">
        <v>4000.0</v>
      </c>
      <c r="M158" s="63">
        <v>4000.0</v>
      </c>
      <c r="N158" s="63">
        <v>4000.0</v>
      </c>
      <c r="O158" s="63">
        <v>4000.0</v>
      </c>
    </row>
    <row r="159">
      <c r="C159" s="54" t="s">
        <v>271</v>
      </c>
      <c r="D159" s="61"/>
      <c r="E159" s="61">
        <v>1500.0</v>
      </c>
      <c r="F159" s="61">
        <v>1500.0</v>
      </c>
      <c r="G159" s="61">
        <v>1500.0</v>
      </c>
      <c r="H159" s="61">
        <v>1500.0</v>
      </c>
      <c r="I159" s="61">
        <v>1500.0</v>
      </c>
      <c r="J159" s="61">
        <v>1500.0</v>
      </c>
      <c r="K159" s="61">
        <v>1500.0</v>
      </c>
      <c r="L159" s="61">
        <v>1500.0</v>
      </c>
      <c r="M159" s="61">
        <v>1500.0</v>
      </c>
      <c r="N159" s="61">
        <v>1500.0</v>
      </c>
      <c r="O159" s="61">
        <v>1500.0</v>
      </c>
    </row>
    <row r="160">
      <c r="C160" s="54" t="s">
        <v>168</v>
      </c>
      <c r="D160" s="61"/>
      <c r="E160" s="61"/>
      <c r="F160" s="63">
        <v>3000.0</v>
      </c>
      <c r="G160" s="63">
        <v>3000.0</v>
      </c>
      <c r="H160" s="63">
        <v>3000.0</v>
      </c>
      <c r="I160" s="63">
        <v>3000.0</v>
      </c>
      <c r="J160" s="63">
        <v>3000.0</v>
      </c>
      <c r="K160" s="63">
        <v>3000.0</v>
      </c>
      <c r="L160" s="63">
        <v>3000.0</v>
      </c>
      <c r="M160" s="63">
        <v>3000.0</v>
      </c>
      <c r="N160" s="63">
        <v>3000.0</v>
      </c>
      <c r="O160" s="61">
        <v>3500.0</v>
      </c>
    </row>
    <row r="161">
      <c r="C161" s="54" t="s">
        <v>168</v>
      </c>
      <c r="D161" s="61"/>
      <c r="E161" s="61"/>
      <c r="F161" s="61"/>
      <c r="G161" s="61"/>
      <c r="H161" s="63">
        <v>3000.0</v>
      </c>
      <c r="I161" s="63">
        <v>3000.0</v>
      </c>
      <c r="J161" s="63">
        <v>3000.0</v>
      </c>
      <c r="K161" s="63">
        <v>3000.0</v>
      </c>
      <c r="L161" s="63">
        <v>3000.0</v>
      </c>
      <c r="M161" s="63">
        <v>3000.0</v>
      </c>
      <c r="N161" s="63">
        <v>3000.0</v>
      </c>
      <c r="O161" s="61">
        <v>3500.0</v>
      </c>
    </row>
    <row r="162">
      <c r="C162" s="54" t="s">
        <v>168</v>
      </c>
      <c r="D162" s="69"/>
      <c r="E162" s="61"/>
      <c r="F162" s="61"/>
      <c r="G162" s="61"/>
      <c r="H162" s="61"/>
      <c r="I162" s="61"/>
      <c r="J162" s="63"/>
      <c r="K162" s="63"/>
      <c r="L162" s="63">
        <v>3000.0</v>
      </c>
      <c r="M162" s="63">
        <v>3000.0</v>
      </c>
      <c r="N162" s="63">
        <v>3000.0</v>
      </c>
      <c r="O162" s="61">
        <v>3500.0</v>
      </c>
    </row>
    <row r="163">
      <c r="C163" s="54" t="s">
        <v>168</v>
      </c>
      <c r="D163" s="69"/>
      <c r="E163" s="69"/>
      <c r="F163" s="61"/>
      <c r="G163" s="61"/>
      <c r="H163" s="61"/>
      <c r="I163" s="61"/>
      <c r="J163" s="61"/>
      <c r="K163" s="63"/>
      <c r="L163" s="63"/>
      <c r="M163" s="63"/>
      <c r="N163" s="63">
        <v>3000.0</v>
      </c>
      <c r="O163" s="61">
        <v>3500.0</v>
      </c>
    </row>
    <row r="164">
      <c r="C164" s="54" t="s">
        <v>168</v>
      </c>
      <c r="D164" s="69"/>
      <c r="E164" s="69"/>
      <c r="F164" s="69"/>
      <c r="G164" s="61"/>
      <c r="H164" s="61"/>
      <c r="I164" s="61"/>
      <c r="J164" s="61"/>
      <c r="K164" s="61"/>
      <c r="L164" s="61"/>
      <c r="M164" s="63"/>
      <c r="N164" s="63"/>
      <c r="O164" s="63"/>
    </row>
    <row r="165">
      <c r="C165" s="54" t="s">
        <v>168</v>
      </c>
      <c r="D165" s="69"/>
      <c r="E165" s="69"/>
      <c r="F165" s="69"/>
      <c r="G165" s="69"/>
      <c r="H165" s="61"/>
      <c r="I165" s="61"/>
      <c r="J165" s="61"/>
      <c r="K165" s="61"/>
      <c r="L165" s="61"/>
      <c r="M165" s="61"/>
      <c r="N165" s="63"/>
      <c r="O165" s="63"/>
    </row>
    <row r="166">
      <c r="C166" s="54" t="s">
        <v>168</v>
      </c>
      <c r="D166" s="75"/>
      <c r="E166" s="75"/>
      <c r="F166" s="75"/>
      <c r="G166" s="75"/>
      <c r="H166" s="75"/>
      <c r="I166" s="61"/>
      <c r="J166" s="61"/>
      <c r="K166" s="61"/>
      <c r="L166" s="61"/>
      <c r="M166" s="61"/>
      <c r="N166" s="61"/>
      <c r="O166" s="61"/>
    </row>
    <row r="167">
      <c r="C167" s="54" t="s">
        <v>168</v>
      </c>
      <c r="D167" s="75"/>
      <c r="E167" s="75"/>
      <c r="F167" s="75"/>
      <c r="G167" s="75"/>
      <c r="H167" s="75"/>
      <c r="I167" s="75"/>
      <c r="J167" s="61"/>
      <c r="K167" s="61"/>
      <c r="L167" s="61"/>
      <c r="M167" s="61"/>
      <c r="N167" s="61"/>
      <c r="O167" s="61"/>
    </row>
    <row r="169">
      <c r="C169" s="5"/>
      <c r="D169" s="5"/>
      <c r="E169" s="5"/>
      <c r="F169" s="5"/>
      <c r="G169" s="5"/>
      <c r="H169" s="5"/>
      <c r="I169" s="5"/>
      <c r="J169" s="5"/>
      <c r="K169" s="20"/>
      <c r="L169" s="20"/>
      <c r="M169" s="20"/>
      <c r="N169" s="20"/>
      <c r="O169" s="20"/>
    </row>
    <row r="170">
      <c r="B170" s="57" t="s">
        <v>272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8"/>
    </row>
    <row r="171">
      <c r="B171" s="55" t="s">
        <v>141</v>
      </c>
      <c r="C171" s="66" t="s">
        <v>92</v>
      </c>
      <c r="D171" s="61" t="s">
        <v>81</v>
      </c>
      <c r="E171" s="61" t="s">
        <v>82</v>
      </c>
      <c r="F171" s="61" t="s">
        <v>83</v>
      </c>
      <c r="G171" s="61" t="s">
        <v>84</v>
      </c>
      <c r="H171" s="61" t="s">
        <v>85</v>
      </c>
      <c r="I171" s="61" t="s">
        <v>86</v>
      </c>
      <c r="J171" s="61" t="s">
        <v>87</v>
      </c>
      <c r="K171" s="61" t="s">
        <v>88</v>
      </c>
      <c r="L171" s="61" t="s">
        <v>89</v>
      </c>
      <c r="M171" s="61" t="s">
        <v>90</v>
      </c>
      <c r="N171" s="61" t="s">
        <v>91</v>
      </c>
      <c r="O171" s="61" t="s">
        <v>92</v>
      </c>
    </row>
    <row r="172">
      <c r="B172" s="30" t="s">
        <v>262</v>
      </c>
      <c r="C172" s="45">
        <f t="shared" ref="C172:O172" si="36">C141</f>
        <v>85</v>
      </c>
      <c r="D172" s="45">
        <f t="shared" si="36"/>
        <v>96.1626048</v>
      </c>
      <c r="E172" s="45">
        <f t="shared" si="36"/>
        <v>106.3004432</v>
      </c>
      <c r="F172" s="45">
        <f t="shared" si="36"/>
        <v>115.5106921</v>
      </c>
      <c r="G172" s="45">
        <f t="shared" si="36"/>
        <v>126.0609104</v>
      </c>
      <c r="H172" s="45">
        <f t="shared" si="36"/>
        <v>135.6503482</v>
      </c>
      <c r="I172" s="45">
        <f t="shared" si="36"/>
        <v>144.367761</v>
      </c>
      <c r="J172" s="45">
        <f t="shared" si="36"/>
        <v>154.9072494</v>
      </c>
      <c r="K172" s="45">
        <f t="shared" si="36"/>
        <v>164.4908747</v>
      </c>
      <c r="L172" s="45">
        <f t="shared" si="36"/>
        <v>173.2059871</v>
      </c>
      <c r="M172" s="45">
        <f t="shared" si="36"/>
        <v>183.7439259</v>
      </c>
      <c r="N172" s="45">
        <f t="shared" si="36"/>
        <v>193.3284646</v>
      </c>
      <c r="O172" s="45">
        <f t="shared" si="36"/>
        <v>202.0462356</v>
      </c>
    </row>
    <row r="173">
      <c r="B173" s="55" t="s">
        <v>229</v>
      </c>
      <c r="C173" s="42">
        <v>15.0</v>
      </c>
      <c r="D173" s="42">
        <v>15.0</v>
      </c>
      <c r="E173" s="42">
        <v>15.0</v>
      </c>
      <c r="F173" s="42">
        <v>15.0</v>
      </c>
      <c r="G173" s="42">
        <v>15.0</v>
      </c>
      <c r="H173" s="42">
        <v>15.0</v>
      </c>
      <c r="I173" s="42">
        <v>15.0</v>
      </c>
      <c r="J173" s="42">
        <v>15.0</v>
      </c>
      <c r="K173" s="42">
        <v>15.0</v>
      </c>
      <c r="L173" s="42">
        <v>15.0</v>
      </c>
      <c r="M173" s="42">
        <v>15.0</v>
      </c>
      <c r="N173" s="42">
        <v>15.0</v>
      </c>
      <c r="O173" s="42">
        <v>15.0</v>
      </c>
    </row>
    <row r="174">
      <c r="B174" s="30" t="s">
        <v>230</v>
      </c>
      <c r="C174" s="45">
        <f t="shared" ref="C174:O174" si="37">C172/C173</f>
        <v>5.666666667</v>
      </c>
      <c r="D174" s="45">
        <f t="shared" si="37"/>
        <v>6.41084032</v>
      </c>
      <c r="E174" s="45">
        <f t="shared" si="37"/>
        <v>7.086696214</v>
      </c>
      <c r="F174" s="45">
        <f t="shared" si="37"/>
        <v>7.700712806</v>
      </c>
      <c r="G174" s="45">
        <f t="shared" si="37"/>
        <v>8.404060692</v>
      </c>
      <c r="H174" s="45">
        <f t="shared" si="37"/>
        <v>9.043356545</v>
      </c>
      <c r="I174" s="45">
        <f t="shared" si="37"/>
        <v>9.624517397</v>
      </c>
      <c r="J174" s="45">
        <f t="shared" si="37"/>
        <v>10.32714996</v>
      </c>
      <c r="K174" s="45">
        <f t="shared" si="37"/>
        <v>10.96605832</v>
      </c>
      <c r="L174" s="45">
        <f t="shared" si="37"/>
        <v>11.54706581</v>
      </c>
      <c r="M174" s="45">
        <f t="shared" si="37"/>
        <v>12.24959506</v>
      </c>
      <c r="N174" s="45">
        <f t="shared" si="37"/>
        <v>12.88856431</v>
      </c>
      <c r="O174" s="45">
        <f t="shared" si="37"/>
        <v>13.46974904</v>
      </c>
    </row>
    <row r="175">
      <c r="B175" s="30" t="s">
        <v>231</v>
      </c>
      <c r="C175" s="13">
        <v>5.0</v>
      </c>
      <c r="D175" s="68">
        <f t="shared" ref="D175:O175" si="38">count(D183:D196)</f>
        <v>5</v>
      </c>
      <c r="E175" s="68">
        <f t="shared" si="38"/>
        <v>5</v>
      </c>
      <c r="F175" s="68">
        <f t="shared" si="38"/>
        <v>5</v>
      </c>
      <c r="G175" s="68">
        <f t="shared" si="38"/>
        <v>8</v>
      </c>
      <c r="H175" s="68">
        <f t="shared" si="38"/>
        <v>8</v>
      </c>
      <c r="I175" s="68">
        <f t="shared" si="38"/>
        <v>9</v>
      </c>
      <c r="J175" s="68">
        <f t="shared" si="38"/>
        <v>9</v>
      </c>
      <c r="K175" s="68">
        <f t="shared" si="38"/>
        <v>10</v>
      </c>
      <c r="L175" s="68">
        <f t="shared" si="38"/>
        <v>10</v>
      </c>
      <c r="M175" s="68">
        <f t="shared" si="38"/>
        <v>11</v>
      </c>
      <c r="N175" s="68">
        <f t="shared" si="38"/>
        <v>12</v>
      </c>
      <c r="O175" s="68">
        <f t="shared" si="38"/>
        <v>12</v>
      </c>
    </row>
    <row r="176">
      <c r="B176" s="55" t="s">
        <v>206</v>
      </c>
      <c r="C176" s="45">
        <f t="shared" ref="C176:O176" si="39">C174-C175</f>
        <v>0.6666666667</v>
      </c>
      <c r="D176" s="45">
        <f t="shared" si="39"/>
        <v>1.41084032</v>
      </c>
      <c r="E176" s="45">
        <f t="shared" si="39"/>
        <v>2.086696214</v>
      </c>
      <c r="F176" s="45">
        <f t="shared" si="39"/>
        <v>2.700712806</v>
      </c>
      <c r="G176" s="45">
        <f t="shared" si="39"/>
        <v>0.4040606924</v>
      </c>
      <c r="H176" s="45">
        <f t="shared" si="39"/>
        <v>1.043356545</v>
      </c>
      <c r="I176" s="45">
        <f t="shared" si="39"/>
        <v>0.6245173968</v>
      </c>
      <c r="J176" s="45">
        <f t="shared" si="39"/>
        <v>1.327149963</v>
      </c>
      <c r="K176" s="45">
        <f t="shared" si="39"/>
        <v>0.9660583159</v>
      </c>
      <c r="L176" s="45">
        <f t="shared" si="39"/>
        <v>1.547065805</v>
      </c>
      <c r="M176" s="45">
        <f t="shared" si="39"/>
        <v>1.249595062</v>
      </c>
      <c r="N176" s="45">
        <f t="shared" si="39"/>
        <v>0.8885643053</v>
      </c>
      <c r="O176" s="45">
        <f t="shared" si="39"/>
        <v>1.46974904</v>
      </c>
    </row>
    <row r="177">
      <c r="B177" s="30" t="s">
        <v>232</v>
      </c>
      <c r="C177" s="44">
        <f t="shared" ref="C177:O177" si="40">C172/C175</f>
        <v>17</v>
      </c>
      <c r="D177" s="44">
        <f t="shared" si="40"/>
        <v>19.23252096</v>
      </c>
      <c r="E177" s="44">
        <f t="shared" si="40"/>
        <v>21.26008864</v>
      </c>
      <c r="F177" s="44">
        <f t="shared" si="40"/>
        <v>23.10213842</v>
      </c>
      <c r="G177" s="44">
        <f t="shared" si="40"/>
        <v>15.7576138</v>
      </c>
      <c r="H177" s="44">
        <f t="shared" si="40"/>
        <v>16.95629352</v>
      </c>
      <c r="I177" s="44">
        <f t="shared" si="40"/>
        <v>16.04086233</v>
      </c>
      <c r="J177" s="44">
        <f t="shared" si="40"/>
        <v>17.21191661</v>
      </c>
      <c r="K177" s="44">
        <f t="shared" si="40"/>
        <v>16.44908747</v>
      </c>
      <c r="L177" s="44">
        <f t="shared" si="40"/>
        <v>17.32059871</v>
      </c>
      <c r="M177" s="44">
        <f t="shared" si="40"/>
        <v>16.70399327</v>
      </c>
      <c r="N177" s="44">
        <f t="shared" si="40"/>
        <v>16.11070538</v>
      </c>
      <c r="O177" s="44">
        <f t="shared" si="40"/>
        <v>16.8371863</v>
      </c>
    </row>
    <row r="179">
      <c r="B179" s="2"/>
      <c r="C179" s="57" t="s">
        <v>272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</row>
    <row r="180">
      <c r="C180" s="12" t="s">
        <v>76</v>
      </c>
      <c r="D180" s="59" t="s">
        <v>77</v>
      </c>
      <c r="E180" s="7"/>
      <c r="F180" s="8"/>
      <c r="G180" s="59" t="s">
        <v>78</v>
      </c>
      <c r="H180" s="7"/>
      <c r="I180" s="8"/>
      <c r="J180" s="59" t="s">
        <v>79</v>
      </c>
      <c r="K180" s="7"/>
      <c r="L180" s="8"/>
      <c r="M180" s="59" t="s">
        <v>80</v>
      </c>
      <c r="N180" s="7"/>
      <c r="O180" s="8"/>
    </row>
    <row r="181">
      <c r="C181" s="12" t="s">
        <v>141</v>
      </c>
      <c r="D181" s="31" t="s">
        <v>81</v>
      </c>
      <c r="E181" s="31" t="s">
        <v>82</v>
      </c>
      <c r="F181" s="31" t="s">
        <v>83</v>
      </c>
      <c r="G181" s="31" t="s">
        <v>84</v>
      </c>
      <c r="H181" s="31" t="s">
        <v>85</v>
      </c>
      <c r="I181" s="31" t="s">
        <v>86</v>
      </c>
      <c r="J181" s="31" t="s">
        <v>87</v>
      </c>
      <c r="K181" s="31" t="s">
        <v>88</v>
      </c>
      <c r="L181" s="31" t="s">
        <v>89</v>
      </c>
      <c r="M181" s="31" t="s">
        <v>90</v>
      </c>
      <c r="N181" s="31" t="s">
        <v>91</v>
      </c>
      <c r="O181" s="31" t="s">
        <v>92</v>
      </c>
    </row>
    <row r="182">
      <c r="C182" s="30" t="s">
        <v>273</v>
      </c>
      <c r="D182" s="34">
        <f t="shared" ref="D182:O182" si="41">SUM(D183:D196)</f>
        <v>17000</v>
      </c>
      <c r="E182" s="34">
        <f t="shared" si="41"/>
        <v>17000</v>
      </c>
      <c r="F182" s="34">
        <f t="shared" si="41"/>
        <v>17500</v>
      </c>
      <c r="G182" s="34">
        <f t="shared" si="41"/>
        <v>28500</v>
      </c>
      <c r="H182" s="34">
        <f t="shared" si="41"/>
        <v>28500</v>
      </c>
      <c r="I182" s="34">
        <f t="shared" si="41"/>
        <v>31500</v>
      </c>
      <c r="J182" s="34">
        <f t="shared" si="41"/>
        <v>35000</v>
      </c>
      <c r="K182" s="34">
        <f t="shared" si="41"/>
        <v>38000</v>
      </c>
      <c r="L182" s="34">
        <f t="shared" si="41"/>
        <v>38000</v>
      </c>
      <c r="M182" s="34">
        <f t="shared" si="41"/>
        <v>43500</v>
      </c>
      <c r="N182" s="34">
        <f t="shared" si="41"/>
        <v>46500</v>
      </c>
      <c r="O182" s="34">
        <f t="shared" si="41"/>
        <v>46500</v>
      </c>
    </row>
    <row r="183">
      <c r="C183" s="60" t="s">
        <v>274</v>
      </c>
      <c r="D183" s="63">
        <v>3500.0</v>
      </c>
      <c r="E183" s="63">
        <v>3500.0</v>
      </c>
      <c r="F183" s="63">
        <v>3500.0</v>
      </c>
      <c r="G183" s="63">
        <v>4000.0</v>
      </c>
      <c r="H183" s="63">
        <v>4000.0</v>
      </c>
      <c r="I183" s="63">
        <v>4000.0</v>
      </c>
      <c r="J183" s="63">
        <v>4500.0</v>
      </c>
      <c r="K183" s="63">
        <v>4500.0</v>
      </c>
      <c r="L183" s="63">
        <v>4500.0</v>
      </c>
      <c r="M183" s="63">
        <v>4500.0</v>
      </c>
      <c r="N183" s="63">
        <v>4500.0</v>
      </c>
      <c r="O183" s="63">
        <v>4500.0</v>
      </c>
    </row>
    <row r="184">
      <c r="C184" s="60" t="s">
        <v>275</v>
      </c>
      <c r="D184" s="63">
        <v>3500.0</v>
      </c>
      <c r="E184" s="63">
        <v>3500.0</v>
      </c>
      <c r="F184" s="63">
        <v>3500.0</v>
      </c>
      <c r="G184" s="63">
        <v>4000.0</v>
      </c>
      <c r="H184" s="63">
        <v>4000.0</v>
      </c>
      <c r="I184" s="63">
        <v>4000.0</v>
      </c>
      <c r="J184" s="63">
        <v>4500.0</v>
      </c>
      <c r="K184" s="63">
        <v>4500.0</v>
      </c>
      <c r="L184" s="63">
        <v>4500.0</v>
      </c>
      <c r="M184" s="63">
        <v>4500.0</v>
      </c>
      <c r="N184" s="63">
        <v>4500.0</v>
      </c>
      <c r="O184" s="63">
        <v>4500.0</v>
      </c>
    </row>
    <row r="185">
      <c r="C185" s="60" t="s">
        <v>276</v>
      </c>
      <c r="D185" s="63">
        <v>3500.0</v>
      </c>
      <c r="E185" s="63">
        <v>3500.0</v>
      </c>
      <c r="F185" s="63">
        <v>3500.0</v>
      </c>
      <c r="G185" s="63">
        <v>4000.0</v>
      </c>
      <c r="H185" s="63">
        <v>4000.0</v>
      </c>
      <c r="I185" s="63">
        <v>4000.0</v>
      </c>
      <c r="J185" s="63">
        <v>4500.0</v>
      </c>
      <c r="K185" s="63">
        <v>4500.0</v>
      </c>
      <c r="L185" s="63">
        <v>4500.0</v>
      </c>
      <c r="M185" s="63">
        <v>5000.0</v>
      </c>
      <c r="N185" s="63">
        <v>5000.0</v>
      </c>
      <c r="O185" s="63">
        <v>5000.0</v>
      </c>
    </row>
    <row r="186">
      <c r="C186" s="60" t="s">
        <v>277</v>
      </c>
      <c r="D186" s="63">
        <v>3500.0</v>
      </c>
      <c r="E186" s="63">
        <v>3500.0</v>
      </c>
      <c r="F186" s="63">
        <v>4000.0</v>
      </c>
      <c r="G186" s="63">
        <v>4000.0</v>
      </c>
      <c r="H186" s="63">
        <v>4000.0</v>
      </c>
      <c r="I186" s="63">
        <v>4000.0</v>
      </c>
      <c r="J186" s="63">
        <v>4500.0</v>
      </c>
      <c r="K186" s="63">
        <v>4500.0</v>
      </c>
      <c r="L186" s="63">
        <v>4500.0</v>
      </c>
      <c r="M186" s="63">
        <v>5000.0</v>
      </c>
      <c r="N186" s="63">
        <v>5000.0</v>
      </c>
      <c r="O186" s="63">
        <v>5000.0</v>
      </c>
    </row>
    <row r="187">
      <c r="C187" s="54" t="s">
        <v>278</v>
      </c>
      <c r="D187" s="34">
        <v>3000.0</v>
      </c>
      <c r="E187" s="34">
        <v>3000.0</v>
      </c>
      <c r="F187" s="34">
        <v>3000.0</v>
      </c>
      <c r="G187" s="63">
        <v>3500.0</v>
      </c>
      <c r="H187" s="63">
        <v>3500.0</v>
      </c>
      <c r="I187" s="63">
        <v>3500.0</v>
      </c>
      <c r="J187" s="63">
        <v>3500.0</v>
      </c>
      <c r="K187" s="63">
        <v>3500.0</v>
      </c>
      <c r="L187" s="63">
        <v>3500.0</v>
      </c>
      <c r="M187" s="34">
        <v>4000.0</v>
      </c>
      <c r="N187" s="34">
        <v>4000.0</v>
      </c>
      <c r="O187" s="34">
        <v>4000.0</v>
      </c>
    </row>
    <row r="188">
      <c r="C188" s="54" t="s">
        <v>168</v>
      </c>
      <c r="D188" s="34"/>
      <c r="E188" s="63"/>
      <c r="F188" s="63"/>
      <c r="G188" s="63">
        <v>3000.0</v>
      </c>
      <c r="H188" s="63">
        <v>3000.0</v>
      </c>
      <c r="I188" s="63">
        <v>3000.0</v>
      </c>
      <c r="J188" s="34">
        <v>4000.0</v>
      </c>
      <c r="K188" s="34">
        <v>4000.0</v>
      </c>
      <c r="L188" s="34">
        <v>4000.0</v>
      </c>
      <c r="M188" s="34">
        <v>4000.0</v>
      </c>
      <c r="N188" s="34">
        <v>4000.0</v>
      </c>
      <c r="O188" s="34">
        <v>4000.0</v>
      </c>
    </row>
    <row r="189">
      <c r="C189" s="54" t="s">
        <v>168</v>
      </c>
      <c r="D189" s="63"/>
      <c r="E189" s="63"/>
      <c r="F189" s="63"/>
      <c r="G189" s="63">
        <v>3000.0</v>
      </c>
      <c r="H189" s="63">
        <v>3000.0</v>
      </c>
      <c r="I189" s="63">
        <v>3000.0</v>
      </c>
      <c r="J189" s="63">
        <v>3500.0</v>
      </c>
      <c r="K189" s="63">
        <v>3500.0</v>
      </c>
      <c r="L189" s="63">
        <v>3500.0</v>
      </c>
      <c r="M189" s="63">
        <v>3500.0</v>
      </c>
      <c r="N189" s="63">
        <v>3500.0</v>
      </c>
      <c r="O189" s="63">
        <v>3500.0</v>
      </c>
    </row>
    <row r="190">
      <c r="C190" s="54" t="s">
        <v>168</v>
      </c>
      <c r="D190" s="63"/>
      <c r="E190" s="63"/>
      <c r="F190" s="63"/>
      <c r="G190" s="63">
        <v>3000.0</v>
      </c>
      <c r="H190" s="63">
        <v>3000.0</v>
      </c>
      <c r="I190" s="63">
        <v>3000.0</v>
      </c>
      <c r="J190" s="63">
        <v>3000.0</v>
      </c>
      <c r="K190" s="63">
        <v>3000.0</v>
      </c>
      <c r="L190" s="63">
        <v>3000.0</v>
      </c>
      <c r="M190" s="63">
        <v>3500.0</v>
      </c>
      <c r="N190" s="63">
        <v>3500.0</v>
      </c>
      <c r="O190" s="63">
        <v>3500.0</v>
      </c>
    </row>
    <row r="191">
      <c r="C191" s="54" t="s">
        <v>168</v>
      </c>
      <c r="D191" s="61"/>
      <c r="E191" s="61"/>
      <c r="F191" s="61"/>
      <c r="G191" s="63"/>
      <c r="H191" s="63"/>
      <c r="I191" s="63">
        <v>3000.0</v>
      </c>
      <c r="J191" s="63">
        <v>3000.0</v>
      </c>
      <c r="K191" s="63">
        <v>3000.0</v>
      </c>
      <c r="L191" s="63">
        <v>3000.0</v>
      </c>
      <c r="M191" s="63">
        <v>3500.0</v>
      </c>
      <c r="N191" s="63">
        <v>3500.0</v>
      </c>
      <c r="O191" s="63">
        <v>3500.0</v>
      </c>
    </row>
    <row r="192">
      <c r="C192" s="54" t="s">
        <v>168</v>
      </c>
      <c r="D192" s="61"/>
      <c r="E192" s="61"/>
      <c r="F192" s="61"/>
      <c r="G192" s="61"/>
      <c r="H192" s="61"/>
      <c r="I192" s="63"/>
      <c r="J192" s="34"/>
      <c r="K192" s="63">
        <v>3000.0</v>
      </c>
      <c r="L192" s="63">
        <v>3000.0</v>
      </c>
      <c r="M192" s="63">
        <v>3000.0</v>
      </c>
      <c r="N192" s="63">
        <v>3000.0</v>
      </c>
      <c r="O192" s="63">
        <v>3000.0</v>
      </c>
    </row>
    <row r="193">
      <c r="C193" s="54" t="s">
        <v>168</v>
      </c>
      <c r="D193" s="35"/>
      <c r="E193" s="35"/>
      <c r="F193" s="35"/>
      <c r="G193" s="35"/>
      <c r="H193" s="35"/>
      <c r="I193" s="35"/>
      <c r="J193" s="35"/>
      <c r="K193" s="34"/>
      <c r="L193" s="34"/>
      <c r="M193" s="34">
        <v>3000.0</v>
      </c>
      <c r="N193" s="34">
        <v>3000.0</v>
      </c>
      <c r="O193" s="34">
        <v>3000.0</v>
      </c>
    </row>
    <row r="194">
      <c r="C194" s="54" t="s">
        <v>168</v>
      </c>
      <c r="D194" s="35"/>
      <c r="E194" s="35"/>
      <c r="F194" s="35"/>
      <c r="G194" s="35"/>
      <c r="H194" s="35"/>
      <c r="I194" s="35"/>
      <c r="J194" s="35"/>
      <c r="K194" s="35"/>
      <c r="L194" s="34"/>
      <c r="M194" s="34"/>
      <c r="N194" s="34">
        <v>3000.0</v>
      </c>
      <c r="O194" s="34">
        <v>3000.0</v>
      </c>
    </row>
    <row r="195">
      <c r="C195" s="54" t="s">
        <v>168</v>
      </c>
      <c r="D195" s="35"/>
      <c r="E195" s="35"/>
      <c r="F195" s="35"/>
      <c r="G195" s="35"/>
      <c r="H195" s="35"/>
      <c r="I195" s="35"/>
      <c r="J195" s="35"/>
      <c r="K195" s="35"/>
      <c r="L195" s="35"/>
      <c r="M195" s="34"/>
      <c r="N195" s="34"/>
      <c r="O195" s="34"/>
    </row>
    <row r="196">
      <c r="C196" s="54" t="s">
        <v>168</v>
      </c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34"/>
    </row>
    <row r="198">
      <c r="C198" s="5"/>
      <c r="D198" s="5"/>
      <c r="E198" s="5"/>
      <c r="F198" s="5"/>
      <c r="G198" s="5"/>
      <c r="H198" s="5"/>
      <c r="I198" s="5"/>
      <c r="J198" s="5"/>
      <c r="K198" s="20"/>
      <c r="L198" s="20"/>
      <c r="M198" s="20"/>
      <c r="N198" s="20"/>
      <c r="O198" s="20"/>
    </row>
    <row r="199">
      <c r="B199" s="57" t="s">
        <v>279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</row>
    <row r="200">
      <c r="B200" s="30" t="s">
        <v>141</v>
      </c>
      <c r="C200" s="30" t="s">
        <v>92</v>
      </c>
      <c r="D200" s="13" t="s">
        <v>81</v>
      </c>
      <c r="E200" s="13" t="s">
        <v>82</v>
      </c>
      <c r="F200" s="13" t="s">
        <v>83</v>
      </c>
      <c r="G200" s="13" t="s">
        <v>84</v>
      </c>
      <c r="H200" s="13" t="s">
        <v>85</v>
      </c>
      <c r="I200" s="13" t="s">
        <v>86</v>
      </c>
      <c r="J200" s="13" t="s">
        <v>87</v>
      </c>
      <c r="K200" s="13" t="s">
        <v>88</v>
      </c>
      <c r="L200" s="13" t="s">
        <v>89</v>
      </c>
      <c r="M200" s="13" t="s">
        <v>90</v>
      </c>
      <c r="N200" s="13" t="s">
        <v>91</v>
      </c>
      <c r="O200" s="13" t="s">
        <v>92</v>
      </c>
    </row>
    <row r="201">
      <c r="B201" s="30" t="s">
        <v>280</v>
      </c>
      <c r="C201" s="34">
        <v>60000.0</v>
      </c>
      <c r="D201" s="34">
        <f>Revenue!D22</f>
        <v>105050</v>
      </c>
      <c r="E201" s="34">
        <f>Revenue!E22</f>
        <v>127845.5</v>
      </c>
      <c r="F201" s="34">
        <f>Revenue!F22</f>
        <v>148589.405</v>
      </c>
      <c r="G201" s="34">
        <f>Revenue!G22</f>
        <v>171216.3586</v>
      </c>
      <c r="H201" s="34">
        <f>Revenue!H22</f>
        <v>191806.8863</v>
      </c>
      <c r="I201" s="34">
        <f>Revenue!I22</f>
        <v>210544.2665</v>
      </c>
      <c r="J201" s="34">
        <f>Revenue!J22</f>
        <v>232095.2825</v>
      </c>
      <c r="K201" s="34">
        <f>Revenue!K22</f>
        <v>251706.7071</v>
      </c>
      <c r="L201" s="34">
        <f>Revenue!L22</f>
        <v>269553.1035</v>
      </c>
      <c r="M201" s="34">
        <f>Revenue!M22</f>
        <v>290293.3242</v>
      </c>
      <c r="N201" s="34">
        <f>Revenue!N22</f>
        <v>309166.925</v>
      </c>
      <c r="O201" s="34">
        <f>Revenue!O22</f>
        <v>326341.9017</v>
      </c>
      <c r="P201" s="37">
        <f>SUM(D201:O201)</f>
        <v>2634209.66</v>
      </c>
    </row>
    <row r="202">
      <c r="B202" s="30" t="s">
        <v>281</v>
      </c>
      <c r="C202" s="42">
        <v>11.0</v>
      </c>
      <c r="D202" s="45">
        <f>Revenue!D24</f>
        <v>13.31257238</v>
      </c>
      <c r="E202" s="45">
        <f>Revenue!E24</f>
        <v>15.3987925</v>
      </c>
      <c r="F202" s="45">
        <f>Revenue!F24</f>
        <v>17.28529688</v>
      </c>
      <c r="G202" s="45">
        <f>Revenue!G24</f>
        <v>19.37220871</v>
      </c>
      <c r="H202" s="45">
        <f>Revenue!H24</f>
        <v>21.2638995</v>
      </c>
      <c r="I202" s="45">
        <f>Revenue!I24</f>
        <v>22.97977716</v>
      </c>
      <c r="J202" s="45">
        <f>Revenue!J24</f>
        <v>24.98955206</v>
      </c>
      <c r="K202" s="45">
        <f>Revenue!K24</f>
        <v>26.81429391</v>
      </c>
      <c r="L202" s="45">
        <f>Revenue!L24</f>
        <v>28.47151009</v>
      </c>
      <c r="M202" s="45">
        <f>Revenue!M24</f>
        <v>30.42859588</v>
      </c>
      <c r="N202" s="45">
        <f>Revenue!N24</f>
        <v>32.20692392</v>
      </c>
      <c r="O202" s="45">
        <f>Revenue!O24</f>
        <v>33.82305493</v>
      </c>
    </row>
    <row r="203">
      <c r="B203" s="30" t="s">
        <v>229</v>
      </c>
      <c r="C203" s="42">
        <v>10.0</v>
      </c>
      <c r="D203" s="42">
        <v>10.0</v>
      </c>
      <c r="E203" s="42">
        <v>10.0</v>
      </c>
      <c r="F203" s="42">
        <v>10.0</v>
      </c>
      <c r="G203" s="42">
        <v>10.0</v>
      </c>
      <c r="H203" s="42">
        <v>10.0</v>
      </c>
      <c r="I203" s="42">
        <v>10.0</v>
      </c>
      <c r="J203" s="42">
        <v>10.0</v>
      </c>
      <c r="K203" s="42">
        <v>10.0</v>
      </c>
      <c r="L203" s="42">
        <v>10.0</v>
      </c>
      <c r="M203" s="42">
        <v>10.0</v>
      </c>
      <c r="N203" s="42">
        <v>10.0</v>
      </c>
      <c r="O203" s="42">
        <v>10.0</v>
      </c>
    </row>
    <row r="204">
      <c r="B204" s="30" t="s">
        <v>204</v>
      </c>
      <c r="C204" s="42">
        <f t="shared" ref="C204:O204" si="42">C202/C203</f>
        <v>1.1</v>
      </c>
      <c r="D204" s="42">
        <f t="shared" si="42"/>
        <v>1.331257238</v>
      </c>
      <c r="E204" s="42">
        <f t="shared" si="42"/>
        <v>1.53987925</v>
      </c>
      <c r="F204" s="42">
        <f t="shared" si="42"/>
        <v>1.728529688</v>
      </c>
      <c r="G204" s="42">
        <f t="shared" si="42"/>
        <v>1.937220871</v>
      </c>
      <c r="H204" s="42">
        <f t="shared" si="42"/>
        <v>2.12638995</v>
      </c>
      <c r="I204" s="42">
        <f t="shared" si="42"/>
        <v>2.297977716</v>
      </c>
      <c r="J204" s="42">
        <f t="shared" si="42"/>
        <v>2.498955206</v>
      </c>
      <c r="K204" s="42">
        <f t="shared" si="42"/>
        <v>2.681429391</v>
      </c>
      <c r="L204" s="42">
        <f t="shared" si="42"/>
        <v>2.847151009</v>
      </c>
      <c r="M204" s="42">
        <f t="shared" si="42"/>
        <v>3.042859588</v>
      </c>
      <c r="N204" s="42">
        <f t="shared" si="42"/>
        <v>3.220692392</v>
      </c>
      <c r="O204" s="42">
        <f t="shared" si="42"/>
        <v>3.382305493</v>
      </c>
    </row>
    <row r="205">
      <c r="B205" s="30" t="s">
        <v>205</v>
      </c>
      <c r="C205" s="42">
        <v>1.0</v>
      </c>
      <c r="D205" s="45">
        <f t="shared" ref="D205:O205" si="43">count(D214:D220)</f>
        <v>0</v>
      </c>
      <c r="E205" s="45">
        <f t="shared" si="43"/>
        <v>1</v>
      </c>
      <c r="F205" s="45">
        <f t="shared" si="43"/>
        <v>1</v>
      </c>
      <c r="G205" s="45">
        <f t="shared" si="43"/>
        <v>3</v>
      </c>
      <c r="H205" s="45">
        <f t="shared" si="43"/>
        <v>3</v>
      </c>
      <c r="I205" s="45">
        <f t="shared" si="43"/>
        <v>3</v>
      </c>
      <c r="J205" s="45">
        <f t="shared" si="43"/>
        <v>4</v>
      </c>
      <c r="K205" s="45">
        <f t="shared" si="43"/>
        <v>4</v>
      </c>
      <c r="L205" s="45">
        <f t="shared" si="43"/>
        <v>4</v>
      </c>
      <c r="M205" s="45">
        <f t="shared" si="43"/>
        <v>5</v>
      </c>
      <c r="N205" s="45">
        <f t="shared" si="43"/>
        <v>5</v>
      </c>
      <c r="O205" s="45">
        <f t="shared" si="43"/>
        <v>5</v>
      </c>
    </row>
    <row r="206">
      <c r="B206" s="30" t="s">
        <v>206</v>
      </c>
      <c r="C206" s="45">
        <f t="shared" ref="C206:O206" si="44">C204-C205</f>
        <v>0.1</v>
      </c>
      <c r="D206" s="45">
        <f t="shared" si="44"/>
        <v>1.331257238</v>
      </c>
      <c r="E206" s="45">
        <f t="shared" si="44"/>
        <v>0.5398792499</v>
      </c>
      <c r="F206" s="45">
        <f t="shared" si="44"/>
        <v>0.7285296878</v>
      </c>
      <c r="G206" s="45">
        <f t="shared" si="44"/>
        <v>-1.062779129</v>
      </c>
      <c r="H206" s="45">
        <f t="shared" si="44"/>
        <v>-0.87361005</v>
      </c>
      <c r="I206" s="45">
        <f t="shared" si="44"/>
        <v>-0.7020222837</v>
      </c>
      <c r="J206" s="45">
        <f t="shared" si="44"/>
        <v>-1.501044794</v>
      </c>
      <c r="K206" s="45">
        <f t="shared" si="44"/>
        <v>-1.318570609</v>
      </c>
      <c r="L206" s="45">
        <f t="shared" si="44"/>
        <v>-1.152848991</v>
      </c>
      <c r="M206" s="45">
        <f t="shared" si="44"/>
        <v>-1.957140412</v>
      </c>
      <c r="N206" s="45">
        <f t="shared" si="44"/>
        <v>-1.779307608</v>
      </c>
      <c r="O206" s="45">
        <f t="shared" si="44"/>
        <v>-1.617694507</v>
      </c>
    </row>
    <row r="207">
      <c r="B207" s="30" t="s">
        <v>245</v>
      </c>
      <c r="C207" s="45">
        <f t="shared" ref="C207:O207" si="45">C202/C205</f>
        <v>11</v>
      </c>
      <c r="D207" s="45" t="str">
        <f t="shared" si="45"/>
        <v>#DIV/0!</v>
      </c>
      <c r="E207" s="45">
        <f t="shared" si="45"/>
        <v>15.3987925</v>
      </c>
      <c r="F207" s="45">
        <f t="shared" si="45"/>
        <v>17.28529688</v>
      </c>
      <c r="G207" s="45">
        <f t="shared" si="45"/>
        <v>6.457402902</v>
      </c>
      <c r="H207" s="45">
        <f t="shared" si="45"/>
        <v>7.0879665</v>
      </c>
      <c r="I207" s="45">
        <f t="shared" si="45"/>
        <v>7.659925721</v>
      </c>
      <c r="J207" s="45">
        <f t="shared" si="45"/>
        <v>6.247388015</v>
      </c>
      <c r="K207" s="45">
        <f t="shared" si="45"/>
        <v>6.703573478</v>
      </c>
      <c r="L207" s="45">
        <f t="shared" si="45"/>
        <v>7.117877523</v>
      </c>
      <c r="M207" s="45">
        <f t="shared" si="45"/>
        <v>6.085719175</v>
      </c>
      <c r="N207" s="45">
        <f t="shared" si="45"/>
        <v>6.441384783</v>
      </c>
      <c r="O207" s="45">
        <f t="shared" si="45"/>
        <v>6.764610986</v>
      </c>
    </row>
    <row r="208">
      <c r="B208" s="30" t="s">
        <v>246</v>
      </c>
      <c r="C208" s="45">
        <f t="shared" ref="C208:O208" si="46">C201/C205</f>
        <v>60000</v>
      </c>
      <c r="D208" s="45" t="str">
        <f t="shared" si="46"/>
        <v>#DIV/0!</v>
      </c>
      <c r="E208" s="45">
        <f t="shared" si="46"/>
        <v>127845.5</v>
      </c>
      <c r="F208" s="45">
        <f t="shared" si="46"/>
        <v>148589.405</v>
      </c>
      <c r="G208" s="45">
        <f t="shared" si="46"/>
        <v>57072.11952</v>
      </c>
      <c r="H208" s="45">
        <f t="shared" si="46"/>
        <v>63935.62876</v>
      </c>
      <c r="I208" s="45">
        <f t="shared" si="46"/>
        <v>70181.42217</v>
      </c>
      <c r="J208" s="45">
        <f t="shared" si="46"/>
        <v>58023.82063</v>
      </c>
      <c r="K208" s="45">
        <f t="shared" si="46"/>
        <v>62926.67678</v>
      </c>
      <c r="L208" s="45">
        <f t="shared" si="46"/>
        <v>67388.27587</v>
      </c>
      <c r="M208" s="45">
        <f t="shared" si="46"/>
        <v>58058.66483</v>
      </c>
      <c r="N208" s="45">
        <f t="shared" si="46"/>
        <v>61833.385</v>
      </c>
      <c r="O208" s="45">
        <f t="shared" si="46"/>
        <v>65268.38035</v>
      </c>
    </row>
    <row r="210">
      <c r="C210" s="57" t="s">
        <v>282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8"/>
    </row>
    <row r="211">
      <c r="C211" s="12" t="s">
        <v>76</v>
      </c>
      <c r="D211" s="59" t="s">
        <v>77</v>
      </c>
      <c r="E211" s="7"/>
      <c r="F211" s="8"/>
      <c r="G211" s="59" t="s">
        <v>78</v>
      </c>
      <c r="H211" s="7"/>
      <c r="I211" s="8"/>
      <c r="J211" s="59" t="s">
        <v>79</v>
      </c>
      <c r="K211" s="7"/>
      <c r="L211" s="8"/>
      <c r="M211" s="59" t="s">
        <v>80</v>
      </c>
      <c r="N211" s="7"/>
      <c r="O211" s="8"/>
    </row>
    <row r="212">
      <c r="C212" s="12" t="s">
        <v>141</v>
      </c>
      <c r="D212" s="31" t="s">
        <v>81</v>
      </c>
      <c r="E212" s="31" t="s">
        <v>82</v>
      </c>
      <c r="F212" s="31" t="s">
        <v>83</v>
      </c>
      <c r="G212" s="31" t="s">
        <v>84</v>
      </c>
      <c r="H212" s="31" t="s">
        <v>85</v>
      </c>
      <c r="I212" s="31" t="s">
        <v>86</v>
      </c>
      <c r="J212" s="31" t="s">
        <v>87</v>
      </c>
      <c r="K212" s="31" t="s">
        <v>88</v>
      </c>
      <c r="L212" s="31" t="s">
        <v>89</v>
      </c>
      <c r="M212" s="31" t="s">
        <v>90</v>
      </c>
      <c r="N212" s="31" t="s">
        <v>91</v>
      </c>
      <c r="O212" s="31" t="s">
        <v>92</v>
      </c>
    </row>
    <row r="213">
      <c r="C213" s="30" t="s">
        <v>283</v>
      </c>
      <c r="D213" s="34">
        <f t="shared" ref="D213:O213" si="47">SUM(D214:D220)</f>
        <v>0</v>
      </c>
      <c r="E213" s="34">
        <f t="shared" si="47"/>
        <v>5000</v>
      </c>
      <c r="F213" s="34">
        <f t="shared" si="47"/>
        <v>5000</v>
      </c>
      <c r="G213" s="34">
        <f t="shared" si="47"/>
        <v>15000</v>
      </c>
      <c r="H213" s="34">
        <f t="shared" si="47"/>
        <v>15000</v>
      </c>
      <c r="I213" s="34">
        <f t="shared" si="47"/>
        <v>15000</v>
      </c>
      <c r="J213" s="34">
        <f t="shared" si="47"/>
        <v>20000</v>
      </c>
      <c r="K213" s="34">
        <f t="shared" si="47"/>
        <v>20000</v>
      </c>
      <c r="L213" s="34">
        <f t="shared" si="47"/>
        <v>20000</v>
      </c>
      <c r="M213" s="34">
        <f t="shared" si="47"/>
        <v>25000</v>
      </c>
      <c r="N213" s="34">
        <f t="shared" si="47"/>
        <v>25000</v>
      </c>
      <c r="O213" s="34">
        <f t="shared" si="47"/>
        <v>25000</v>
      </c>
    </row>
    <row r="214">
      <c r="C214" s="54" t="s">
        <v>168</v>
      </c>
      <c r="D214" s="63"/>
      <c r="E214" s="63">
        <v>5000.0</v>
      </c>
      <c r="F214" s="63">
        <v>5000.0</v>
      </c>
      <c r="G214" s="63">
        <v>5000.0</v>
      </c>
      <c r="H214" s="63">
        <v>5000.0</v>
      </c>
      <c r="I214" s="63">
        <v>5000.0</v>
      </c>
      <c r="J214" s="63">
        <v>5000.0</v>
      </c>
      <c r="K214" s="63">
        <v>5000.0</v>
      </c>
      <c r="L214" s="63">
        <v>5000.0</v>
      </c>
      <c r="M214" s="63">
        <v>5000.0</v>
      </c>
      <c r="N214" s="63">
        <v>5000.0</v>
      </c>
      <c r="O214" s="63">
        <v>5000.0</v>
      </c>
    </row>
    <row r="215">
      <c r="C215" s="54" t="s">
        <v>168</v>
      </c>
      <c r="D215" s="63"/>
      <c r="E215" s="63"/>
      <c r="F215" s="63"/>
      <c r="G215" s="63">
        <v>5000.0</v>
      </c>
      <c r="H215" s="63">
        <v>5000.0</v>
      </c>
      <c r="I215" s="63">
        <v>5000.0</v>
      </c>
      <c r="J215" s="63">
        <v>5000.0</v>
      </c>
      <c r="K215" s="63">
        <v>5000.0</v>
      </c>
      <c r="L215" s="63">
        <v>5000.0</v>
      </c>
      <c r="M215" s="63">
        <v>5000.0</v>
      </c>
      <c r="N215" s="63">
        <v>5000.0</v>
      </c>
      <c r="O215" s="63">
        <v>5000.0</v>
      </c>
    </row>
    <row r="216">
      <c r="C216" s="54" t="s">
        <v>168</v>
      </c>
      <c r="D216" s="61"/>
      <c r="E216" s="61"/>
      <c r="F216" s="61"/>
      <c r="G216" s="63">
        <v>5000.0</v>
      </c>
      <c r="H216" s="63">
        <v>5000.0</v>
      </c>
      <c r="I216" s="63">
        <v>5000.0</v>
      </c>
      <c r="J216" s="63">
        <v>5000.0</v>
      </c>
      <c r="K216" s="63">
        <v>5000.0</v>
      </c>
      <c r="L216" s="63">
        <v>5000.0</v>
      </c>
      <c r="M216" s="63">
        <v>5000.0</v>
      </c>
      <c r="N216" s="63">
        <v>5000.0</v>
      </c>
      <c r="O216" s="63">
        <v>5000.0</v>
      </c>
    </row>
    <row r="217">
      <c r="C217" s="54" t="s">
        <v>168</v>
      </c>
      <c r="D217" s="61"/>
      <c r="E217" s="61"/>
      <c r="F217" s="61"/>
      <c r="G217" s="61"/>
      <c r="H217" s="61"/>
      <c r="I217" s="61"/>
      <c r="J217" s="63">
        <v>5000.0</v>
      </c>
      <c r="K217" s="63">
        <v>5000.0</v>
      </c>
      <c r="L217" s="63">
        <v>5000.0</v>
      </c>
      <c r="M217" s="63">
        <v>5000.0</v>
      </c>
      <c r="N217" s="63">
        <v>5000.0</v>
      </c>
      <c r="O217" s="63">
        <v>5000.0</v>
      </c>
    </row>
    <row r="218">
      <c r="C218" s="54" t="s">
        <v>168</v>
      </c>
      <c r="D218" s="61"/>
      <c r="E218" s="61"/>
      <c r="F218" s="61"/>
      <c r="G218" s="61"/>
      <c r="H218" s="61"/>
      <c r="I218" s="61"/>
      <c r="J218" s="61"/>
      <c r="K218" s="63"/>
      <c r="L218" s="63"/>
      <c r="M218" s="63">
        <v>5000.0</v>
      </c>
      <c r="N218" s="63">
        <v>5000.0</v>
      </c>
      <c r="O218" s="63">
        <v>5000.0</v>
      </c>
    </row>
    <row r="219">
      <c r="C219" s="54" t="s">
        <v>168</v>
      </c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</row>
    <row r="220">
      <c r="C220" s="54" t="s">
        <v>168</v>
      </c>
      <c r="D220" s="61"/>
      <c r="E220" s="61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>
      <c r="C221" s="2"/>
      <c r="D221" s="20"/>
      <c r="E221" s="20"/>
      <c r="F221" s="20"/>
      <c r="G221" s="76"/>
      <c r="H221" s="76"/>
      <c r="I221" s="76"/>
      <c r="J221" s="76"/>
      <c r="K221" s="76"/>
      <c r="L221" s="76"/>
      <c r="M221" s="76"/>
      <c r="N221" s="76"/>
      <c r="O221" s="76"/>
    </row>
    <row r="222">
      <c r="B222" s="77" t="s">
        <v>284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8"/>
    </row>
    <row r="223">
      <c r="B223" s="55" t="s">
        <v>141</v>
      </c>
      <c r="C223" s="66" t="s">
        <v>92</v>
      </c>
      <c r="D223" s="61" t="s">
        <v>81</v>
      </c>
      <c r="E223" s="61" t="s">
        <v>82</v>
      </c>
      <c r="F223" s="61" t="s">
        <v>83</v>
      </c>
      <c r="G223" s="61" t="s">
        <v>84</v>
      </c>
      <c r="H223" s="61" t="s">
        <v>85</v>
      </c>
      <c r="I223" s="61" t="s">
        <v>86</v>
      </c>
      <c r="J223" s="61" t="s">
        <v>87</v>
      </c>
      <c r="K223" s="61" t="s">
        <v>88</v>
      </c>
      <c r="L223" s="61" t="s">
        <v>89</v>
      </c>
      <c r="M223" s="61" t="s">
        <v>90</v>
      </c>
      <c r="N223" s="61" t="s">
        <v>91</v>
      </c>
      <c r="O223" s="61" t="s">
        <v>92</v>
      </c>
    </row>
    <row r="224">
      <c r="B224" s="30" t="s">
        <v>285</v>
      </c>
      <c r="C224" s="35">
        <f>Revenue!C27</f>
        <v>77000</v>
      </c>
      <c r="D224" s="35">
        <f>Revenue!D27</f>
        <v>91570</v>
      </c>
      <c r="E224" s="35">
        <f>Revenue!E27</f>
        <v>104828.7</v>
      </c>
      <c r="F224" s="35">
        <f>Revenue!F27</f>
        <v>116894.117</v>
      </c>
      <c r="G224" s="35">
        <f>Revenue!G27</f>
        <v>130373.6465</v>
      </c>
      <c r="H224" s="35">
        <f>Revenue!H27</f>
        <v>142640.0183</v>
      </c>
      <c r="I224" s="35">
        <f>Revenue!I27</f>
        <v>153802.4166</v>
      </c>
      <c r="J224" s="35">
        <f>Revenue!J27</f>
        <v>166960.1991</v>
      </c>
      <c r="K224" s="35">
        <f>Revenue!K27</f>
        <v>178933.7812</v>
      </c>
      <c r="L224" s="35">
        <f>Revenue!L27</f>
        <v>189829.7409</v>
      </c>
      <c r="M224" s="35">
        <f>Revenue!M27</f>
        <v>202745.0642</v>
      </c>
      <c r="N224" s="35">
        <f>Revenue!N27</f>
        <v>214498.0084</v>
      </c>
      <c r="O224" s="35">
        <f>Revenue!O27</f>
        <v>225193.1877</v>
      </c>
      <c r="P224" s="37">
        <f>SUM(D224:O224)</f>
        <v>1918268.88</v>
      </c>
    </row>
    <row r="225">
      <c r="B225" s="30" t="s">
        <v>286</v>
      </c>
      <c r="C225" s="45">
        <f>Revenue!C29</f>
        <v>49</v>
      </c>
      <c r="D225" s="45">
        <f>Revenue!D29</f>
        <v>56.65667795</v>
      </c>
      <c r="E225" s="45">
        <f>Revenue!E29</f>
        <v>63.60101246</v>
      </c>
      <c r="F225" s="45">
        <f>Revenue!F29</f>
        <v>69.90350948</v>
      </c>
      <c r="G225" s="45">
        <f>Revenue!G29</f>
        <v>77.02160281</v>
      </c>
      <c r="H225" s="45">
        <f>Revenue!H29</f>
        <v>83.48724047</v>
      </c>
      <c r="I225" s="45">
        <f>Revenue!I29</f>
        <v>89.36171746</v>
      </c>
      <c r="J225" s="45">
        <f>Revenue!J29</f>
        <v>96.37179333</v>
      </c>
      <c r="K225" s="45">
        <f>Revenue!K29</f>
        <v>102.743636</v>
      </c>
      <c r="L225" s="45">
        <f>Revenue!L29</f>
        <v>108.536073</v>
      </c>
      <c r="M225" s="45">
        <f>Revenue!M29</f>
        <v>115.4722623</v>
      </c>
      <c r="N225" s="45">
        <f>Revenue!N29</f>
        <v>121.7793262</v>
      </c>
      <c r="O225" s="45">
        <f>Revenue!O29</f>
        <v>127.5147174</v>
      </c>
    </row>
    <row r="226">
      <c r="B226" s="55" t="s">
        <v>229</v>
      </c>
      <c r="C226" s="42">
        <v>20.0</v>
      </c>
      <c r="D226" s="42">
        <v>20.0</v>
      </c>
      <c r="E226" s="42">
        <v>20.0</v>
      </c>
      <c r="F226" s="42">
        <v>20.0</v>
      </c>
      <c r="G226" s="42">
        <v>20.0</v>
      </c>
      <c r="H226" s="42">
        <v>20.0</v>
      </c>
      <c r="I226" s="42">
        <v>20.0</v>
      </c>
      <c r="J226" s="42">
        <v>20.0</v>
      </c>
      <c r="K226" s="42">
        <v>20.0</v>
      </c>
      <c r="L226" s="42">
        <v>20.0</v>
      </c>
      <c r="M226" s="42">
        <v>20.0</v>
      </c>
      <c r="N226" s="42">
        <v>20.0</v>
      </c>
      <c r="O226" s="42">
        <v>20.0</v>
      </c>
    </row>
    <row r="227">
      <c r="B227" s="55" t="s">
        <v>204</v>
      </c>
      <c r="C227" s="45">
        <f t="shared" ref="C227:O227" si="48">C225/C226</f>
        <v>2.45</v>
      </c>
      <c r="D227" s="45">
        <f t="shared" si="48"/>
        <v>2.832833897</v>
      </c>
      <c r="E227" s="45">
        <f t="shared" si="48"/>
        <v>3.180050623</v>
      </c>
      <c r="F227" s="45">
        <f t="shared" si="48"/>
        <v>3.495175474</v>
      </c>
      <c r="G227" s="45">
        <f t="shared" si="48"/>
        <v>3.851080141</v>
      </c>
      <c r="H227" s="45">
        <f t="shared" si="48"/>
        <v>4.174362023</v>
      </c>
      <c r="I227" s="45">
        <f t="shared" si="48"/>
        <v>4.468085873</v>
      </c>
      <c r="J227" s="45">
        <f t="shared" si="48"/>
        <v>4.818589666</v>
      </c>
      <c r="K227" s="45">
        <f t="shared" si="48"/>
        <v>5.1371818</v>
      </c>
      <c r="L227" s="45">
        <f t="shared" si="48"/>
        <v>5.426803651</v>
      </c>
      <c r="M227" s="45">
        <f t="shared" si="48"/>
        <v>5.773613114</v>
      </c>
      <c r="N227" s="45">
        <f t="shared" si="48"/>
        <v>6.08896631</v>
      </c>
      <c r="O227" s="45">
        <f t="shared" si="48"/>
        <v>6.375735871</v>
      </c>
    </row>
    <row r="228">
      <c r="B228" s="55" t="s">
        <v>205</v>
      </c>
      <c r="C228" s="13">
        <v>0.0</v>
      </c>
      <c r="D228" s="68">
        <f t="shared" ref="D228:O228" si="49">count(D237:D251)</f>
        <v>3</v>
      </c>
      <c r="E228" s="68">
        <f t="shared" si="49"/>
        <v>3</v>
      </c>
      <c r="F228" s="68">
        <f t="shared" si="49"/>
        <v>3</v>
      </c>
      <c r="G228" s="68">
        <f t="shared" si="49"/>
        <v>4</v>
      </c>
      <c r="H228" s="68">
        <f t="shared" si="49"/>
        <v>4</v>
      </c>
      <c r="I228" s="68">
        <f t="shared" si="49"/>
        <v>4</v>
      </c>
      <c r="J228" s="68">
        <f t="shared" si="49"/>
        <v>5</v>
      </c>
      <c r="K228" s="68">
        <f t="shared" si="49"/>
        <v>5</v>
      </c>
      <c r="L228" s="68">
        <f t="shared" si="49"/>
        <v>5</v>
      </c>
      <c r="M228" s="68">
        <f t="shared" si="49"/>
        <v>6</v>
      </c>
      <c r="N228" s="68">
        <f t="shared" si="49"/>
        <v>6</v>
      </c>
      <c r="O228" s="68">
        <f t="shared" si="49"/>
        <v>6</v>
      </c>
    </row>
    <row r="229">
      <c r="B229" s="55" t="s">
        <v>206</v>
      </c>
      <c r="C229" s="45">
        <f t="shared" ref="C229:O229" si="50">C227-C228</f>
        <v>2.45</v>
      </c>
      <c r="D229" s="45">
        <f t="shared" si="50"/>
        <v>-0.1671661027</v>
      </c>
      <c r="E229" s="45">
        <f t="shared" si="50"/>
        <v>0.180050623</v>
      </c>
      <c r="F229" s="45">
        <f t="shared" si="50"/>
        <v>0.4951754741</v>
      </c>
      <c r="G229" s="45">
        <f t="shared" si="50"/>
        <v>-0.1489198593</v>
      </c>
      <c r="H229" s="45">
        <f t="shared" si="50"/>
        <v>0.1743620233</v>
      </c>
      <c r="I229" s="45">
        <f t="shared" si="50"/>
        <v>0.4680858728</v>
      </c>
      <c r="J229" s="45">
        <f t="shared" si="50"/>
        <v>-0.1814103337</v>
      </c>
      <c r="K229" s="45">
        <f t="shared" si="50"/>
        <v>0.1371818004</v>
      </c>
      <c r="L229" s="45">
        <f t="shared" si="50"/>
        <v>0.4268036514</v>
      </c>
      <c r="M229" s="45">
        <f t="shared" si="50"/>
        <v>-0.2263868856</v>
      </c>
      <c r="N229" s="45">
        <f t="shared" si="50"/>
        <v>0.0889663102</v>
      </c>
      <c r="O229" s="45">
        <f t="shared" si="50"/>
        <v>0.375735871</v>
      </c>
    </row>
    <row r="230">
      <c r="B230" s="30" t="s">
        <v>287</v>
      </c>
      <c r="C230" s="44">
        <v>11.0</v>
      </c>
      <c r="D230" s="44">
        <f t="shared" ref="D230:O230" si="51">D225/D228</f>
        <v>18.88555932</v>
      </c>
      <c r="E230" s="44">
        <f t="shared" si="51"/>
        <v>21.20033749</v>
      </c>
      <c r="F230" s="44">
        <f t="shared" si="51"/>
        <v>23.30116983</v>
      </c>
      <c r="G230" s="44">
        <f t="shared" si="51"/>
        <v>19.2554007</v>
      </c>
      <c r="H230" s="44">
        <f t="shared" si="51"/>
        <v>20.87181012</v>
      </c>
      <c r="I230" s="44">
        <f t="shared" si="51"/>
        <v>22.34042936</v>
      </c>
      <c r="J230" s="44">
        <f t="shared" si="51"/>
        <v>19.27435867</v>
      </c>
      <c r="K230" s="44">
        <f t="shared" si="51"/>
        <v>20.5487272</v>
      </c>
      <c r="L230" s="44">
        <f t="shared" si="51"/>
        <v>21.70721461</v>
      </c>
      <c r="M230" s="44">
        <f t="shared" si="51"/>
        <v>19.24537705</v>
      </c>
      <c r="N230" s="44">
        <f t="shared" si="51"/>
        <v>20.29655437</v>
      </c>
      <c r="O230" s="44">
        <f t="shared" si="51"/>
        <v>21.2524529</v>
      </c>
    </row>
    <row r="231">
      <c r="B231" s="30" t="s">
        <v>288</v>
      </c>
      <c r="C231" s="35" t="str">
        <f t="shared" ref="C231:O231" si="52">C224/C228</f>
        <v>#DIV/0!</v>
      </c>
      <c r="D231" s="35">
        <f t="shared" si="52"/>
        <v>30523.33333</v>
      </c>
      <c r="E231" s="35">
        <f t="shared" si="52"/>
        <v>34942.9</v>
      </c>
      <c r="F231" s="35">
        <f t="shared" si="52"/>
        <v>38964.70567</v>
      </c>
      <c r="G231" s="35">
        <f t="shared" si="52"/>
        <v>32593.41162</v>
      </c>
      <c r="H231" s="35">
        <f t="shared" si="52"/>
        <v>35660.00457</v>
      </c>
      <c r="I231" s="35">
        <f t="shared" si="52"/>
        <v>38450.60416</v>
      </c>
      <c r="J231" s="35">
        <f t="shared" si="52"/>
        <v>33392.03983</v>
      </c>
      <c r="K231" s="35">
        <f t="shared" si="52"/>
        <v>35786.75624</v>
      </c>
      <c r="L231" s="35">
        <f t="shared" si="52"/>
        <v>37965.94818</v>
      </c>
      <c r="M231" s="35">
        <f t="shared" si="52"/>
        <v>33790.84404</v>
      </c>
      <c r="N231" s="35">
        <f t="shared" si="52"/>
        <v>35749.66807</v>
      </c>
      <c r="O231" s="35">
        <f t="shared" si="52"/>
        <v>37532.19795</v>
      </c>
    </row>
    <row r="233">
      <c r="C233" s="77" t="s">
        <v>289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</row>
    <row r="234">
      <c r="C234" s="12" t="s">
        <v>76</v>
      </c>
      <c r="D234" s="59" t="s">
        <v>77</v>
      </c>
      <c r="E234" s="7"/>
      <c r="F234" s="8"/>
      <c r="G234" s="59" t="s">
        <v>78</v>
      </c>
      <c r="H234" s="7"/>
      <c r="I234" s="8"/>
      <c r="J234" s="59" t="s">
        <v>79</v>
      </c>
      <c r="K234" s="7"/>
      <c r="L234" s="8"/>
      <c r="M234" s="59" t="s">
        <v>80</v>
      </c>
      <c r="N234" s="7"/>
      <c r="O234" s="8"/>
    </row>
    <row r="235">
      <c r="C235" s="12" t="s">
        <v>141</v>
      </c>
      <c r="D235" s="31" t="s">
        <v>81</v>
      </c>
      <c r="E235" s="31" t="s">
        <v>82</v>
      </c>
      <c r="F235" s="31" t="s">
        <v>83</v>
      </c>
      <c r="G235" s="31" t="s">
        <v>84</v>
      </c>
      <c r="H235" s="31" t="s">
        <v>85</v>
      </c>
      <c r="I235" s="31" t="s">
        <v>86</v>
      </c>
      <c r="J235" s="31" t="s">
        <v>87</v>
      </c>
      <c r="K235" s="31" t="s">
        <v>88</v>
      </c>
      <c r="L235" s="31" t="s">
        <v>89</v>
      </c>
      <c r="M235" s="31" t="s">
        <v>90</v>
      </c>
      <c r="N235" s="31" t="s">
        <v>91</v>
      </c>
      <c r="O235" s="31" t="s">
        <v>92</v>
      </c>
    </row>
    <row r="236">
      <c r="C236" s="12" t="s">
        <v>290</v>
      </c>
      <c r="D236" s="34">
        <f t="shared" ref="D236:O236" si="53">SUM(D237:D251)</f>
        <v>10500</v>
      </c>
      <c r="E236" s="34">
        <f t="shared" si="53"/>
        <v>10500</v>
      </c>
      <c r="F236" s="34">
        <f t="shared" si="53"/>
        <v>10500</v>
      </c>
      <c r="G236" s="34">
        <f t="shared" si="53"/>
        <v>15500</v>
      </c>
      <c r="H236" s="34">
        <f t="shared" si="53"/>
        <v>15500</v>
      </c>
      <c r="I236" s="34">
        <f t="shared" si="53"/>
        <v>15500</v>
      </c>
      <c r="J236" s="34">
        <f t="shared" si="53"/>
        <v>20000</v>
      </c>
      <c r="K236" s="34">
        <f t="shared" si="53"/>
        <v>20500</v>
      </c>
      <c r="L236" s="34">
        <f t="shared" si="53"/>
        <v>20500</v>
      </c>
      <c r="M236" s="34">
        <f t="shared" si="53"/>
        <v>26500</v>
      </c>
      <c r="N236" s="34">
        <f t="shared" si="53"/>
        <v>26500</v>
      </c>
      <c r="O236" s="34">
        <f t="shared" si="53"/>
        <v>26500</v>
      </c>
    </row>
    <row r="237">
      <c r="C237" s="54" t="s">
        <v>168</v>
      </c>
      <c r="D237" s="61">
        <v>4500.0</v>
      </c>
      <c r="E237" s="61">
        <v>4500.0</v>
      </c>
      <c r="F237" s="61">
        <v>4500.0</v>
      </c>
      <c r="G237" s="61">
        <v>5000.0</v>
      </c>
      <c r="H237" s="61">
        <v>5000.0</v>
      </c>
      <c r="I237" s="61">
        <v>5000.0</v>
      </c>
      <c r="J237" s="61">
        <v>5000.0</v>
      </c>
      <c r="K237" s="61">
        <v>5500.0</v>
      </c>
      <c r="L237" s="61">
        <v>5500.0</v>
      </c>
      <c r="M237" s="61">
        <v>5500.0</v>
      </c>
      <c r="N237" s="61">
        <v>5500.0</v>
      </c>
      <c r="O237" s="61">
        <v>5500.0</v>
      </c>
    </row>
    <row r="238">
      <c r="C238" s="54" t="s">
        <v>168</v>
      </c>
      <c r="D238" s="63">
        <v>3000.0</v>
      </c>
      <c r="E238" s="63">
        <v>3000.0</v>
      </c>
      <c r="F238" s="63">
        <v>3000.0</v>
      </c>
      <c r="G238" s="63">
        <v>3500.0</v>
      </c>
      <c r="H238" s="63">
        <v>3500.0</v>
      </c>
      <c r="I238" s="63">
        <v>3500.0</v>
      </c>
      <c r="J238" s="63">
        <v>4000.0</v>
      </c>
      <c r="K238" s="63">
        <v>4000.0</v>
      </c>
      <c r="L238" s="63">
        <v>4000.0</v>
      </c>
      <c r="M238" s="63">
        <v>5000.0</v>
      </c>
      <c r="N238" s="63">
        <v>5000.0</v>
      </c>
      <c r="O238" s="63">
        <v>5000.0</v>
      </c>
    </row>
    <row r="239">
      <c r="C239" s="54" t="s">
        <v>168</v>
      </c>
      <c r="D239" s="63">
        <v>3000.0</v>
      </c>
      <c r="E239" s="63">
        <v>3000.0</v>
      </c>
      <c r="F239" s="63">
        <v>3000.0</v>
      </c>
      <c r="G239" s="63">
        <v>3500.0</v>
      </c>
      <c r="H239" s="63">
        <v>3500.0</v>
      </c>
      <c r="I239" s="63">
        <v>3500.0</v>
      </c>
      <c r="J239" s="63">
        <v>4000.0</v>
      </c>
      <c r="K239" s="63">
        <v>4000.0</v>
      </c>
      <c r="L239" s="63">
        <v>4000.0</v>
      </c>
      <c r="M239" s="63">
        <v>4500.0</v>
      </c>
      <c r="N239" s="63">
        <v>4500.0</v>
      </c>
      <c r="O239" s="63">
        <v>4500.0</v>
      </c>
    </row>
    <row r="240">
      <c r="C240" s="54" t="s">
        <v>168</v>
      </c>
      <c r="D240" s="63"/>
      <c r="E240" s="63"/>
      <c r="F240" s="63"/>
      <c r="G240" s="63">
        <v>3500.0</v>
      </c>
      <c r="H240" s="63">
        <v>3500.0</v>
      </c>
      <c r="I240" s="63">
        <v>3500.0</v>
      </c>
      <c r="J240" s="63">
        <v>3500.0</v>
      </c>
      <c r="K240" s="63">
        <v>3500.0</v>
      </c>
      <c r="L240" s="63">
        <v>3500.0</v>
      </c>
      <c r="M240" s="63">
        <v>4000.0</v>
      </c>
      <c r="N240" s="63">
        <v>4000.0</v>
      </c>
      <c r="O240" s="63">
        <v>4000.0</v>
      </c>
    </row>
    <row r="241">
      <c r="C241" s="54" t="s">
        <v>168</v>
      </c>
      <c r="D241" s="63"/>
      <c r="E241" s="63"/>
      <c r="F241" s="63"/>
      <c r="G241" s="63"/>
      <c r="H241" s="63"/>
      <c r="I241" s="63"/>
      <c r="J241" s="63">
        <v>3500.0</v>
      </c>
      <c r="K241" s="63">
        <v>3500.0</v>
      </c>
      <c r="L241" s="63">
        <v>3500.0</v>
      </c>
      <c r="M241" s="63">
        <v>4000.0</v>
      </c>
      <c r="N241" s="63">
        <v>4000.0</v>
      </c>
      <c r="O241" s="63">
        <v>4000.0</v>
      </c>
    </row>
    <row r="242">
      <c r="C242" s="54" t="s">
        <v>168</v>
      </c>
      <c r="D242" s="63"/>
      <c r="E242" s="63"/>
      <c r="F242" s="63"/>
      <c r="G242" s="63"/>
      <c r="H242" s="63"/>
      <c r="I242" s="63"/>
      <c r="J242" s="63"/>
      <c r="K242" s="63"/>
      <c r="L242" s="63"/>
      <c r="M242" s="63">
        <v>3500.0</v>
      </c>
      <c r="N242" s="63">
        <v>3500.0</v>
      </c>
      <c r="O242" s="63">
        <v>3500.0</v>
      </c>
    </row>
    <row r="243">
      <c r="C243" s="54" t="s">
        <v>168</v>
      </c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>
      <c r="C244" s="54" t="s">
        <v>168</v>
      </c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>
      <c r="C245" s="54" t="s">
        <v>168</v>
      </c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>
      <c r="C246" s="54" t="s">
        <v>168</v>
      </c>
      <c r="D246" s="55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</row>
    <row r="247">
      <c r="C247" s="54" t="s">
        <v>168</v>
      </c>
      <c r="D247" s="55"/>
      <c r="E247" s="55"/>
      <c r="F247" s="34"/>
      <c r="G247" s="34"/>
      <c r="H247" s="34"/>
      <c r="I247" s="34"/>
      <c r="J247" s="34"/>
      <c r="K247" s="34"/>
      <c r="L247" s="34"/>
      <c r="M247" s="34"/>
      <c r="N247" s="34"/>
      <c r="O247" s="34"/>
    </row>
    <row r="248">
      <c r="C248" s="54" t="s">
        <v>168</v>
      </c>
      <c r="D248" s="55"/>
      <c r="E248" s="55"/>
      <c r="F248" s="35"/>
      <c r="G248" s="35"/>
      <c r="H248" s="34"/>
      <c r="I248" s="34"/>
      <c r="J248" s="34"/>
      <c r="K248" s="34"/>
      <c r="L248" s="34"/>
      <c r="M248" s="34"/>
      <c r="N248" s="34"/>
      <c r="O248" s="34"/>
      <c r="P248" s="2"/>
    </row>
    <row r="249">
      <c r="C249" s="54" t="s">
        <v>168</v>
      </c>
      <c r="D249" s="55"/>
      <c r="E249" s="55"/>
      <c r="F249" s="35"/>
      <c r="G249" s="35"/>
      <c r="H249" s="35"/>
      <c r="I249" s="34"/>
      <c r="J249" s="34"/>
      <c r="K249" s="34"/>
      <c r="L249" s="34"/>
      <c r="M249" s="34"/>
      <c r="N249" s="34"/>
      <c r="O249" s="34"/>
    </row>
    <row r="250">
      <c r="C250" s="54" t="s">
        <v>168</v>
      </c>
      <c r="D250" s="55"/>
      <c r="E250" s="55"/>
      <c r="F250" s="35"/>
      <c r="G250" s="35"/>
      <c r="H250" s="35"/>
      <c r="I250" s="35"/>
      <c r="J250" s="35"/>
      <c r="K250" s="34"/>
      <c r="L250" s="34"/>
      <c r="M250" s="34"/>
      <c r="N250" s="34"/>
      <c r="O250" s="34"/>
    </row>
    <row r="251">
      <c r="C251" s="54" t="s">
        <v>168</v>
      </c>
      <c r="D251" s="55"/>
      <c r="E251" s="55"/>
      <c r="F251" s="35"/>
      <c r="G251" s="35"/>
      <c r="H251" s="35"/>
      <c r="I251" s="35"/>
      <c r="J251" s="35"/>
      <c r="K251" s="35"/>
      <c r="L251" s="34"/>
      <c r="M251" s="34"/>
      <c r="N251" s="34"/>
      <c r="O251" s="34"/>
    </row>
    <row r="253">
      <c r="B253" s="57" t="s">
        <v>291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</row>
    <row r="254">
      <c r="B254" s="55" t="s">
        <v>141</v>
      </c>
      <c r="C254" s="66" t="s">
        <v>92</v>
      </c>
      <c r="D254" s="61" t="s">
        <v>81</v>
      </c>
      <c r="E254" s="61" t="s">
        <v>82</v>
      </c>
      <c r="F254" s="61" t="s">
        <v>83</v>
      </c>
      <c r="G254" s="61" t="s">
        <v>84</v>
      </c>
      <c r="H254" s="61" t="s">
        <v>85</v>
      </c>
      <c r="I254" s="61" t="s">
        <v>86</v>
      </c>
      <c r="J254" s="61" t="s">
        <v>87</v>
      </c>
      <c r="K254" s="61" t="s">
        <v>88</v>
      </c>
      <c r="L254" s="61" t="s">
        <v>89</v>
      </c>
      <c r="M254" s="61" t="s">
        <v>90</v>
      </c>
      <c r="N254" s="61" t="s">
        <v>91</v>
      </c>
      <c r="O254" s="61" t="s">
        <v>92</v>
      </c>
    </row>
    <row r="255">
      <c r="B255" s="30" t="s">
        <v>292</v>
      </c>
      <c r="C255" s="42">
        <v>376.0</v>
      </c>
      <c r="D255" s="45">
        <f>Revenue!D9+Revenue!D14+Revenue!D19+Revenue!D24+Revenue!D29</f>
        <v>407.1087771</v>
      </c>
      <c r="E255" s="45">
        <f>Revenue!E9+Revenue!E14+Revenue!E19+Revenue!E24+Revenue!E29</f>
        <v>437.1289002</v>
      </c>
      <c r="F255" s="45">
        <f>Revenue!F9+Revenue!F14+Revenue!F19+Revenue!F24+Revenue!F29</f>
        <v>464.365416</v>
      </c>
      <c r="G255" s="45">
        <f>Revenue!G9+Revenue!G14+Revenue!G19+Revenue!G24+Revenue!G29</f>
        <v>496.8137605</v>
      </c>
      <c r="H255" s="45">
        <f>Revenue!H9+Revenue!H14+Revenue!H19+Revenue!H24+Revenue!H29</f>
        <v>526.2803179</v>
      </c>
      <c r="I255" s="45">
        <f>Revenue!I9+Revenue!I14+Revenue!I19+Revenue!I24+Revenue!I29</f>
        <v>553.0454444</v>
      </c>
      <c r="J255" s="45">
        <f>Revenue!J9+Revenue!J14+Revenue!J19+Revenue!J24+Revenue!J29</f>
        <v>586.6173635</v>
      </c>
      <c r="K255" s="45">
        <f>Revenue!K9+Revenue!K14+Revenue!K19+Revenue!K24+Revenue!K29</f>
        <v>617.1267163</v>
      </c>
      <c r="L255" s="45">
        <f>Revenue!L9+Revenue!L14+Revenue!L19+Revenue!L24+Revenue!L29</f>
        <v>644.8562535</v>
      </c>
      <c r="M255" s="45">
        <f>Revenue!M9+Revenue!M14+Revenue!M19+Revenue!M24+Revenue!M29</f>
        <v>679.3077209</v>
      </c>
      <c r="N255" s="45">
        <f>Revenue!N9+Revenue!N14+Revenue!N19+Revenue!N24+Revenue!N29</f>
        <v>710.6297794</v>
      </c>
      <c r="O255" s="45">
        <f>Revenue!O9+Revenue!O14+Revenue!O19+Revenue!O24+Revenue!O29</f>
        <v>739.108675</v>
      </c>
    </row>
    <row r="256">
      <c r="B256" s="55" t="s">
        <v>229</v>
      </c>
      <c r="C256" s="42">
        <v>70.0</v>
      </c>
      <c r="D256" s="42">
        <v>70.0</v>
      </c>
      <c r="E256" s="42">
        <v>70.0</v>
      </c>
      <c r="F256" s="42">
        <v>70.0</v>
      </c>
      <c r="G256" s="42">
        <v>70.0</v>
      </c>
      <c r="H256" s="42">
        <v>70.0</v>
      </c>
      <c r="I256" s="42">
        <v>70.0</v>
      </c>
      <c r="J256" s="42">
        <v>70.0</v>
      </c>
      <c r="K256" s="42">
        <v>70.0</v>
      </c>
      <c r="L256" s="42">
        <v>70.0</v>
      </c>
      <c r="M256" s="42">
        <v>70.0</v>
      </c>
      <c r="N256" s="42">
        <v>70.0</v>
      </c>
      <c r="O256" s="42">
        <v>70.0</v>
      </c>
    </row>
    <row r="257">
      <c r="B257" s="30" t="s">
        <v>293</v>
      </c>
      <c r="C257" s="45">
        <f t="shared" ref="C257:O257" si="54">C255/C256</f>
        <v>5.371428571</v>
      </c>
      <c r="D257" s="45">
        <f t="shared" si="54"/>
        <v>5.815839672</v>
      </c>
      <c r="E257" s="45">
        <f t="shared" si="54"/>
        <v>6.244698574</v>
      </c>
      <c r="F257" s="45">
        <f t="shared" si="54"/>
        <v>6.633791658</v>
      </c>
      <c r="G257" s="45">
        <f t="shared" si="54"/>
        <v>7.097339435</v>
      </c>
      <c r="H257" s="45">
        <f t="shared" si="54"/>
        <v>7.518290255</v>
      </c>
      <c r="I257" s="45">
        <f t="shared" si="54"/>
        <v>7.900649206</v>
      </c>
      <c r="J257" s="45">
        <f t="shared" si="54"/>
        <v>8.380248051</v>
      </c>
      <c r="K257" s="45">
        <f t="shared" si="54"/>
        <v>8.816095948</v>
      </c>
      <c r="L257" s="45">
        <f t="shared" si="54"/>
        <v>9.212232193</v>
      </c>
      <c r="M257" s="45">
        <f t="shared" si="54"/>
        <v>9.704396012</v>
      </c>
      <c r="N257" s="45">
        <f t="shared" si="54"/>
        <v>10.15185399</v>
      </c>
      <c r="O257" s="45">
        <f t="shared" si="54"/>
        <v>10.55869536</v>
      </c>
    </row>
    <row r="258">
      <c r="B258" s="30" t="s">
        <v>294</v>
      </c>
      <c r="C258" s="13">
        <v>4.0</v>
      </c>
      <c r="D258" s="68">
        <f t="shared" ref="D258:O258" si="55">count(D266:D281)</f>
        <v>6</v>
      </c>
      <c r="E258" s="68">
        <f t="shared" si="55"/>
        <v>6</v>
      </c>
      <c r="F258" s="68">
        <f t="shared" si="55"/>
        <v>7</v>
      </c>
      <c r="G258" s="68">
        <f t="shared" si="55"/>
        <v>8</v>
      </c>
      <c r="H258" s="68">
        <f t="shared" si="55"/>
        <v>9</v>
      </c>
      <c r="I258" s="68">
        <f t="shared" si="55"/>
        <v>9</v>
      </c>
      <c r="J258" s="68">
        <f t="shared" si="55"/>
        <v>9</v>
      </c>
      <c r="K258" s="68">
        <f t="shared" si="55"/>
        <v>10</v>
      </c>
      <c r="L258" s="68">
        <f t="shared" si="55"/>
        <v>10</v>
      </c>
      <c r="M258" s="68">
        <f t="shared" si="55"/>
        <v>11</v>
      </c>
      <c r="N258" s="68">
        <f t="shared" si="55"/>
        <v>11</v>
      </c>
      <c r="O258" s="68">
        <f t="shared" si="55"/>
        <v>11</v>
      </c>
    </row>
    <row r="259">
      <c r="B259" s="55" t="s">
        <v>206</v>
      </c>
      <c r="C259" s="45">
        <f t="shared" ref="C259:O259" si="56">C257-C258</f>
        <v>1.371428571</v>
      </c>
      <c r="D259" s="45">
        <f t="shared" si="56"/>
        <v>-0.1841603275</v>
      </c>
      <c r="E259" s="45">
        <f t="shared" si="56"/>
        <v>0.2446985744</v>
      </c>
      <c r="F259" s="45">
        <f t="shared" si="56"/>
        <v>-0.3662083422</v>
      </c>
      <c r="G259" s="45">
        <f t="shared" si="56"/>
        <v>-0.9026605649</v>
      </c>
      <c r="H259" s="45">
        <f t="shared" si="56"/>
        <v>-1.481709745</v>
      </c>
      <c r="I259" s="45">
        <f t="shared" si="56"/>
        <v>-1.099350794</v>
      </c>
      <c r="J259" s="45">
        <f t="shared" si="56"/>
        <v>-0.6197519494</v>
      </c>
      <c r="K259" s="45">
        <f t="shared" si="56"/>
        <v>-1.183904052</v>
      </c>
      <c r="L259" s="45">
        <f t="shared" si="56"/>
        <v>-0.7877678067</v>
      </c>
      <c r="M259" s="45">
        <f t="shared" si="56"/>
        <v>-1.295603988</v>
      </c>
      <c r="N259" s="45">
        <f t="shared" si="56"/>
        <v>-0.8481460081</v>
      </c>
      <c r="O259" s="45">
        <f t="shared" si="56"/>
        <v>-0.4413046435</v>
      </c>
    </row>
    <row r="260">
      <c r="B260" s="30" t="s">
        <v>295</v>
      </c>
      <c r="C260" s="44">
        <f t="shared" ref="C260:O260" si="57">C255/C258</f>
        <v>94</v>
      </c>
      <c r="D260" s="44">
        <f t="shared" si="57"/>
        <v>67.85146285</v>
      </c>
      <c r="E260" s="44">
        <f t="shared" si="57"/>
        <v>72.8548167</v>
      </c>
      <c r="F260" s="44">
        <f t="shared" si="57"/>
        <v>66.33791658</v>
      </c>
      <c r="G260" s="44">
        <f t="shared" si="57"/>
        <v>62.10172006</v>
      </c>
      <c r="H260" s="44">
        <f t="shared" si="57"/>
        <v>58.47559087</v>
      </c>
      <c r="I260" s="44">
        <f t="shared" si="57"/>
        <v>61.44949383</v>
      </c>
      <c r="J260" s="44">
        <f t="shared" si="57"/>
        <v>65.17970706</v>
      </c>
      <c r="K260" s="44">
        <f t="shared" si="57"/>
        <v>61.71267163</v>
      </c>
      <c r="L260" s="44">
        <f t="shared" si="57"/>
        <v>64.48562535</v>
      </c>
      <c r="M260" s="44">
        <f t="shared" si="57"/>
        <v>61.75524735</v>
      </c>
      <c r="N260" s="44">
        <f t="shared" si="57"/>
        <v>64.60270722</v>
      </c>
      <c r="O260" s="44">
        <f t="shared" si="57"/>
        <v>67.19169772</v>
      </c>
    </row>
    <row r="262">
      <c r="B262" s="2"/>
      <c r="C262" s="57" t="s">
        <v>291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8"/>
    </row>
    <row r="263">
      <c r="C263" s="12" t="s">
        <v>76</v>
      </c>
      <c r="D263" s="59" t="s">
        <v>77</v>
      </c>
      <c r="E263" s="7"/>
      <c r="F263" s="8"/>
      <c r="G263" s="59" t="s">
        <v>78</v>
      </c>
      <c r="H263" s="7"/>
      <c r="I263" s="8"/>
      <c r="J263" s="59" t="s">
        <v>79</v>
      </c>
      <c r="K263" s="7"/>
      <c r="L263" s="8"/>
      <c r="M263" s="59" t="s">
        <v>80</v>
      </c>
      <c r="N263" s="7"/>
      <c r="O263" s="8"/>
    </row>
    <row r="264">
      <c r="C264" s="12" t="s">
        <v>141</v>
      </c>
      <c r="D264" s="31" t="s">
        <v>81</v>
      </c>
      <c r="E264" s="31" t="s">
        <v>82</v>
      </c>
      <c r="F264" s="31" t="s">
        <v>83</v>
      </c>
      <c r="G264" s="31" t="s">
        <v>84</v>
      </c>
      <c r="H264" s="31" t="s">
        <v>85</v>
      </c>
      <c r="I264" s="31" t="s">
        <v>86</v>
      </c>
      <c r="J264" s="31" t="s">
        <v>87</v>
      </c>
      <c r="K264" s="31" t="s">
        <v>88</v>
      </c>
      <c r="L264" s="31" t="s">
        <v>89</v>
      </c>
      <c r="M264" s="31" t="s">
        <v>90</v>
      </c>
      <c r="N264" s="31" t="s">
        <v>91</v>
      </c>
      <c r="O264" s="31" t="s">
        <v>92</v>
      </c>
    </row>
    <row r="265">
      <c r="C265" s="12" t="s">
        <v>296</v>
      </c>
      <c r="D265" s="56">
        <f t="shared" ref="D265:O265" si="58">SUM(D266:D281)</f>
        <v>19500</v>
      </c>
      <c r="E265" s="56">
        <f t="shared" si="58"/>
        <v>19500</v>
      </c>
      <c r="F265" s="56">
        <f t="shared" si="58"/>
        <v>23000</v>
      </c>
      <c r="G265" s="56">
        <f t="shared" si="58"/>
        <v>27500</v>
      </c>
      <c r="H265" s="56">
        <f t="shared" si="58"/>
        <v>30500</v>
      </c>
      <c r="I265" s="56">
        <f t="shared" si="58"/>
        <v>30500</v>
      </c>
      <c r="J265" s="56">
        <f t="shared" si="58"/>
        <v>33000</v>
      </c>
      <c r="K265" s="56">
        <f t="shared" si="58"/>
        <v>37500</v>
      </c>
      <c r="L265" s="56">
        <f t="shared" si="58"/>
        <v>37500</v>
      </c>
      <c r="M265" s="56">
        <f t="shared" si="58"/>
        <v>42750</v>
      </c>
      <c r="N265" s="56">
        <f t="shared" si="58"/>
        <v>43500</v>
      </c>
      <c r="O265" s="56">
        <f t="shared" si="58"/>
        <v>43500</v>
      </c>
      <c r="P265" s="78">
        <f>SUM(D265:O265)</f>
        <v>388250</v>
      </c>
    </row>
    <row r="266">
      <c r="C266" s="60" t="s">
        <v>297</v>
      </c>
      <c r="D266" s="63">
        <v>4000.0</v>
      </c>
      <c r="E266" s="63">
        <v>4000.0</v>
      </c>
      <c r="F266" s="63">
        <v>4000.0</v>
      </c>
      <c r="G266" s="63">
        <v>4000.0</v>
      </c>
      <c r="H266" s="63">
        <v>4000.0</v>
      </c>
      <c r="I266" s="63">
        <v>4000.0</v>
      </c>
      <c r="J266" s="63">
        <v>5000.0</v>
      </c>
      <c r="K266" s="63">
        <v>5000.0</v>
      </c>
      <c r="L266" s="63">
        <v>5000.0</v>
      </c>
      <c r="M266" s="63">
        <v>5500.0</v>
      </c>
      <c r="N266" s="63">
        <v>5500.0</v>
      </c>
      <c r="O266" s="63">
        <v>5500.0</v>
      </c>
    </row>
    <row r="267">
      <c r="C267" s="60" t="s">
        <v>298</v>
      </c>
      <c r="D267" s="63">
        <v>3000.0</v>
      </c>
      <c r="E267" s="63">
        <v>3000.0</v>
      </c>
      <c r="F267" s="63">
        <v>3500.0</v>
      </c>
      <c r="G267" s="63">
        <v>3500.0</v>
      </c>
      <c r="H267" s="63">
        <v>3500.0</v>
      </c>
      <c r="I267" s="63">
        <v>3500.0</v>
      </c>
      <c r="J267" s="63">
        <v>3500.0</v>
      </c>
      <c r="K267" s="63">
        <v>4000.0</v>
      </c>
      <c r="L267" s="63">
        <v>4000.0</v>
      </c>
      <c r="M267" s="63">
        <v>4500.0</v>
      </c>
      <c r="N267" s="63">
        <v>4500.0</v>
      </c>
      <c r="O267" s="63">
        <v>4500.0</v>
      </c>
    </row>
    <row r="268">
      <c r="C268" s="60" t="s">
        <v>299</v>
      </c>
      <c r="D268" s="63">
        <v>3000.0</v>
      </c>
      <c r="E268" s="63">
        <v>3000.0</v>
      </c>
      <c r="F268" s="63">
        <v>3000.0</v>
      </c>
      <c r="G268" s="63">
        <v>3000.0</v>
      </c>
      <c r="H268" s="63">
        <v>3000.0</v>
      </c>
      <c r="I268" s="63">
        <v>3000.0</v>
      </c>
      <c r="J268" s="63">
        <v>3500.0</v>
      </c>
      <c r="K268" s="63">
        <v>3500.0</v>
      </c>
      <c r="L268" s="63">
        <v>3500.0</v>
      </c>
      <c r="M268" s="63">
        <v>3750.0</v>
      </c>
      <c r="N268" s="63">
        <v>3750.0</v>
      </c>
      <c r="O268" s="63">
        <v>3750.0</v>
      </c>
    </row>
    <row r="269">
      <c r="C269" s="60" t="s">
        <v>300</v>
      </c>
      <c r="D269" s="63">
        <v>3500.0</v>
      </c>
      <c r="E269" s="63">
        <v>3500.0</v>
      </c>
      <c r="F269" s="63">
        <v>3500.0</v>
      </c>
      <c r="G269" s="63">
        <v>4000.0</v>
      </c>
      <c r="H269" s="63">
        <v>4000.0</v>
      </c>
      <c r="I269" s="63">
        <v>4000.0</v>
      </c>
      <c r="J269" s="63">
        <v>4500.0</v>
      </c>
      <c r="K269" s="63">
        <v>4500.0</v>
      </c>
      <c r="L269" s="63">
        <v>4500.0</v>
      </c>
      <c r="M269" s="63">
        <v>4500.0</v>
      </c>
      <c r="N269" s="63">
        <v>5000.0</v>
      </c>
      <c r="O269" s="63">
        <v>5000.0</v>
      </c>
    </row>
    <row r="270">
      <c r="C270" s="54" t="s">
        <v>168</v>
      </c>
      <c r="D270" s="63">
        <v>3000.0</v>
      </c>
      <c r="E270" s="63">
        <v>3000.0</v>
      </c>
      <c r="F270" s="63">
        <v>3000.0</v>
      </c>
      <c r="G270" s="63">
        <v>3500.0</v>
      </c>
      <c r="H270" s="63">
        <v>3500.0</v>
      </c>
      <c r="I270" s="63">
        <v>3500.0</v>
      </c>
      <c r="J270" s="63">
        <v>3500.0</v>
      </c>
      <c r="K270" s="63">
        <v>4000.0</v>
      </c>
      <c r="L270" s="63">
        <v>4000.0</v>
      </c>
      <c r="M270" s="63">
        <v>4000.0</v>
      </c>
      <c r="N270" s="63">
        <v>4000.0</v>
      </c>
      <c r="O270" s="63">
        <v>4000.0</v>
      </c>
    </row>
    <row r="271">
      <c r="C271" s="54" t="s">
        <v>168</v>
      </c>
      <c r="D271" s="63">
        <v>3000.0</v>
      </c>
      <c r="E271" s="63">
        <v>3000.0</v>
      </c>
      <c r="F271" s="63">
        <v>3000.0</v>
      </c>
      <c r="G271" s="63">
        <v>3500.0</v>
      </c>
      <c r="H271" s="63">
        <v>3500.0</v>
      </c>
      <c r="I271" s="63">
        <v>3500.0</v>
      </c>
      <c r="J271" s="63">
        <v>3500.0</v>
      </c>
      <c r="K271" s="63">
        <v>4000.0</v>
      </c>
      <c r="L271" s="63">
        <v>4000.0</v>
      </c>
      <c r="M271" s="63">
        <v>4000.0</v>
      </c>
      <c r="N271" s="63">
        <v>4000.0</v>
      </c>
      <c r="O271" s="63">
        <v>4000.0</v>
      </c>
    </row>
    <row r="272">
      <c r="C272" s="54" t="s">
        <v>168</v>
      </c>
      <c r="D272" s="63"/>
      <c r="E272" s="63"/>
      <c r="F272" s="63">
        <v>3000.0</v>
      </c>
      <c r="G272" s="63">
        <v>3000.0</v>
      </c>
      <c r="H272" s="63">
        <v>3000.0</v>
      </c>
      <c r="I272" s="63">
        <v>3000.0</v>
      </c>
      <c r="J272" s="63">
        <v>3500.0</v>
      </c>
      <c r="K272" s="63">
        <v>3500.0</v>
      </c>
      <c r="L272" s="63">
        <v>3500.0</v>
      </c>
      <c r="M272" s="63">
        <v>3500.0</v>
      </c>
      <c r="N272" s="63">
        <v>3750.0</v>
      </c>
      <c r="O272" s="63">
        <v>3750.0</v>
      </c>
    </row>
    <row r="273">
      <c r="C273" s="54" t="s">
        <v>168</v>
      </c>
      <c r="D273" s="64"/>
      <c r="E273" s="63"/>
      <c r="F273" s="63"/>
      <c r="G273" s="63">
        <v>3000.0</v>
      </c>
      <c r="H273" s="63">
        <v>3000.0</v>
      </c>
      <c r="I273" s="63">
        <v>3000.0</v>
      </c>
      <c r="J273" s="63">
        <v>3000.0</v>
      </c>
      <c r="K273" s="63">
        <v>3000.0</v>
      </c>
      <c r="L273" s="63">
        <v>3000.0</v>
      </c>
      <c r="M273" s="63">
        <v>3500.0</v>
      </c>
      <c r="N273" s="63">
        <v>3500.0</v>
      </c>
      <c r="O273" s="63">
        <v>3500.0</v>
      </c>
    </row>
    <row r="274">
      <c r="C274" s="54" t="s">
        <v>168</v>
      </c>
      <c r="D274" s="64"/>
      <c r="E274" s="79"/>
      <c r="F274" s="63"/>
      <c r="G274" s="63"/>
      <c r="H274" s="63">
        <v>3000.0</v>
      </c>
      <c r="I274" s="63">
        <v>3000.0</v>
      </c>
      <c r="J274" s="63">
        <v>3000.0</v>
      </c>
      <c r="K274" s="63">
        <v>3000.0</v>
      </c>
      <c r="L274" s="63">
        <v>3000.0</v>
      </c>
      <c r="M274" s="63">
        <v>3500.0</v>
      </c>
      <c r="N274" s="63">
        <v>3500.0</v>
      </c>
      <c r="O274" s="63">
        <v>3500.0</v>
      </c>
    </row>
    <row r="275">
      <c r="C275" s="54" t="s">
        <v>168</v>
      </c>
      <c r="D275" s="55"/>
      <c r="E275" s="55"/>
      <c r="F275" s="55"/>
      <c r="G275" s="55"/>
      <c r="H275" s="63"/>
      <c r="I275" s="63"/>
      <c r="J275" s="63"/>
      <c r="K275" s="63">
        <v>3000.0</v>
      </c>
      <c r="L275" s="63">
        <v>3000.0</v>
      </c>
      <c r="M275" s="63">
        <v>3000.0</v>
      </c>
      <c r="N275" s="63">
        <v>3000.0</v>
      </c>
      <c r="O275" s="63">
        <v>3000.0</v>
      </c>
    </row>
    <row r="276">
      <c r="C276" s="54" t="s">
        <v>168</v>
      </c>
      <c r="D276" s="65"/>
      <c r="E276" s="65"/>
      <c r="F276" s="65"/>
      <c r="G276" s="65"/>
      <c r="H276" s="65"/>
      <c r="I276" s="63"/>
      <c r="J276" s="63"/>
      <c r="K276" s="63"/>
      <c r="L276" s="63"/>
      <c r="M276" s="63">
        <v>3000.0</v>
      </c>
      <c r="N276" s="63">
        <v>3000.0</v>
      </c>
      <c r="O276" s="63">
        <v>3000.0</v>
      </c>
    </row>
    <row r="277">
      <c r="C277" s="54" t="s">
        <v>168</v>
      </c>
      <c r="D277" s="70"/>
      <c r="E277" s="70"/>
      <c r="F277" s="70"/>
      <c r="G277" s="70"/>
      <c r="H277" s="70"/>
      <c r="I277" s="70"/>
      <c r="J277" s="70"/>
      <c r="K277" s="63"/>
      <c r="L277" s="63"/>
      <c r="M277" s="63"/>
      <c r="N277" s="63"/>
      <c r="O277" s="63"/>
    </row>
    <row r="278">
      <c r="C278" s="54" t="s">
        <v>168</v>
      </c>
      <c r="D278" s="70"/>
      <c r="E278" s="70"/>
      <c r="F278" s="70"/>
      <c r="G278" s="70"/>
      <c r="H278" s="70"/>
      <c r="I278" s="70"/>
      <c r="J278" s="70"/>
      <c r="K278" s="70"/>
      <c r="L278" s="63"/>
      <c r="M278" s="63"/>
      <c r="N278" s="63"/>
      <c r="O278" s="63"/>
    </row>
    <row r="279">
      <c r="C279" s="54" t="s">
        <v>168</v>
      </c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63"/>
      <c r="O279" s="63"/>
    </row>
    <row r="280">
      <c r="C280" s="54" t="s">
        <v>168</v>
      </c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63"/>
    </row>
    <row r="281">
      <c r="C281" s="54" t="s">
        <v>168</v>
      </c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3">
      <c r="B283" s="57" t="s">
        <v>301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</row>
    <row r="284">
      <c r="B284" s="30" t="s">
        <v>141</v>
      </c>
      <c r="C284" s="30"/>
      <c r="D284" s="13" t="s">
        <v>81</v>
      </c>
      <c r="E284" s="13" t="s">
        <v>82</v>
      </c>
      <c r="F284" s="13" t="s">
        <v>83</v>
      </c>
      <c r="G284" s="13" t="s">
        <v>84</v>
      </c>
      <c r="H284" s="13" t="s">
        <v>85</v>
      </c>
      <c r="I284" s="13" t="s">
        <v>86</v>
      </c>
      <c r="J284" s="13" t="s">
        <v>87</v>
      </c>
      <c r="K284" s="13" t="s">
        <v>88</v>
      </c>
      <c r="L284" s="13" t="s">
        <v>89</v>
      </c>
      <c r="M284" s="13" t="s">
        <v>90</v>
      </c>
      <c r="N284" s="13" t="s">
        <v>91</v>
      </c>
      <c r="O284" s="13" t="s">
        <v>92</v>
      </c>
    </row>
    <row r="285">
      <c r="B285" s="30" t="s">
        <v>302</v>
      </c>
      <c r="C285" s="34"/>
      <c r="D285" s="42">
        <f t="shared" ref="D285:O285" si="59">D5</f>
        <v>67</v>
      </c>
      <c r="E285" s="42">
        <f t="shared" si="59"/>
        <v>73</v>
      </c>
      <c r="F285" s="42">
        <f t="shared" si="59"/>
        <v>76</v>
      </c>
      <c r="G285" s="42">
        <f t="shared" si="59"/>
        <v>86</v>
      </c>
      <c r="H285" s="42">
        <f t="shared" si="59"/>
        <v>89</v>
      </c>
      <c r="I285" s="42">
        <f t="shared" si="59"/>
        <v>90</v>
      </c>
      <c r="J285" s="42">
        <f t="shared" si="59"/>
        <v>95</v>
      </c>
      <c r="K285" s="42">
        <f t="shared" si="59"/>
        <v>99</v>
      </c>
      <c r="L285" s="42">
        <f t="shared" si="59"/>
        <v>101</v>
      </c>
      <c r="M285" s="42">
        <f t="shared" si="59"/>
        <v>107</v>
      </c>
      <c r="N285" s="42">
        <f t="shared" si="59"/>
        <v>110</v>
      </c>
      <c r="O285" s="42">
        <f t="shared" si="59"/>
        <v>112</v>
      </c>
    </row>
    <row r="286">
      <c r="B286" s="30" t="s">
        <v>199</v>
      </c>
      <c r="C286" s="80"/>
      <c r="D286" s="45">
        <f t="shared" ref="D286:O286" si="60">count(D296:D309)</f>
        <v>6</v>
      </c>
      <c r="E286" s="45">
        <f t="shared" si="60"/>
        <v>7</v>
      </c>
      <c r="F286" s="45">
        <f t="shared" si="60"/>
        <v>7</v>
      </c>
      <c r="G286" s="45">
        <f t="shared" si="60"/>
        <v>7</v>
      </c>
      <c r="H286" s="45">
        <f t="shared" si="60"/>
        <v>8</v>
      </c>
      <c r="I286" s="45">
        <f t="shared" si="60"/>
        <v>8</v>
      </c>
      <c r="J286" s="45">
        <f t="shared" si="60"/>
        <v>9</v>
      </c>
      <c r="K286" s="45">
        <f t="shared" si="60"/>
        <v>9</v>
      </c>
      <c r="L286" s="45">
        <f t="shared" si="60"/>
        <v>9</v>
      </c>
      <c r="M286" s="45">
        <f t="shared" si="60"/>
        <v>9</v>
      </c>
      <c r="N286" s="45">
        <f t="shared" si="60"/>
        <v>9</v>
      </c>
      <c r="O286" s="45">
        <f t="shared" si="60"/>
        <v>10</v>
      </c>
    </row>
    <row r="287">
      <c r="B287" s="30" t="s">
        <v>303</v>
      </c>
      <c r="C287" s="80"/>
      <c r="D287" s="42">
        <f t="shared" ref="D287:O287" si="61">D285/D286</f>
        <v>11.16666667</v>
      </c>
      <c r="E287" s="42">
        <f t="shared" si="61"/>
        <v>10.42857143</v>
      </c>
      <c r="F287" s="42">
        <f t="shared" si="61"/>
        <v>10.85714286</v>
      </c>
      <c r="G287" s="42">
        <f t="shared" si="61"/>
        <v>12.28571429</v>
      </c>
      <c r="H287" s="42">
        <f t="shared" si="61"/>
        <v>11.125</v>
      </c>
      <c r="I287" s="42">
        <f t="shared" si="61"/>
        <v>11.25</v>
      </c>
      <c r="J287" s="42">
        <f t="shared" si="61"/>
        <v>10.55555556</v>
      </c>
      <c r="K287" s="42">
        <f t="shared" si="61"/>
        <v>11</v>
      </c>
      <c r="L287" s="42">
        <f t="shared" si="61"/>
        <v>11.22222222</v>
      </c>
      <c r="M287" s="42">
        <f t="shared" si="61"/>
        <v>11.88888889</v>
      </c>
      <c r="N287" s="42">
        <f t="shared" si="61"/>
        <v>12.22222222</v>
      </c>
      <c r="O287" s="42">
        <f t="shared" si="61"/>
        <v>11.2</v>
      </c>
    </row>
    <row r="288">
      <c r="B288" s="30" t="s">
        <v>229</v>
      </c>
      <c r="C288" s="42"/>
      <c r="D288" s="42">
        <v>16.0</v>
      </c>
      <c r="E288" s="42">
        <v>16.0</v>
      </c>
      <c r="F288" s="42">
        <v>16.0</v>
      </c>
      <c r="G288" s="42">
        <v>16.0</v>
      </c>
      <c r="H288" s="42">
        <v>16.0</v>
      </c>
      <c r="I288" s="42">
        <v>16.0</v>
      </c>
      <c r="J288" s="42">
        <v>16.0</v>
      </c>
      <c r="K288" s="42">
        <v>16.0</v>
      </c>
      <c r="L288" s="42">
        <v>16.0</v>
      </c>
      <c r="M288" s="42">
        <v>16.0</v>
      </c>
      <c r="N288" s="42">
        <v>16.0</v>
      </c>
      <c r="O288" s="42">
        <v>16.0</v>
      </c>
    </row>
    <row r="289">
      <c r="B289" s="30" t="s">
        <v>304</v>
      </c>
      <c r="C289" s="13"/>
      <c r="D289" s="44">
        <f t="shared" ref="D289:O289" si="62">D285/D288</f>
        <v>4.1875</v>
      </c>
      <c r="E289" s="44">
        <f t="shared" si="62"/>
        <v>4.5625</v>
      </c>
      <c r="F289" s="44">
        <f t="shared" si="62"/>
        <v>4.75</v>
      </c>
      <c r="G289" s="44">
        <f t="shared" si="62"/>
        <v>5.375</v>
      </c>
      <c r="H289" s="44">
        <f t="shared" si="62"/>
        <v>5.5625</v>
      </c>
      <c r="I289" s="44">
        <f t="shared" si="62"/>
        <v>5.625</v>
      </c>
      <c r="J289" s="44">
        <f t="shared" si="62"/>
        <v>5.9375</v>
      </c>
      <c r="K289" s="44">
        <f t="shared" si="62"/>
        <v>6.1875</v>
      </c>
      <c r="L289" s="44">
        <f t="shared" si="62"/>
        <v>6.3125</v>
      </c>
      <c r="M289" s="44">
        <f t="shared" si="62"/>
        <v>6.6875</v>
      </c>
      <c r="N289" s="44">
        <f t="shared" si="62"/>
        <v>6.875</v>
      </c>
      <c r="O289" s="44">
        <f t="shared" si="62"/>
        <v>7</v>
      </c>
    </row>
    <row r="290">
      <c r="B290" s="30" t="s">
        <v>305</v>
      </c>
      <c r="C290" s="72"/>
      <c r="D290" s="44">
        <f t="shared" ref="D290:O290" si="63">D289-D286</f>
        <v>-1.8125</v>
      </c>
      <c r="E290" s="44">
        <f t="shared" si="63"/>
        <v>-2.4375</v>
      </c>
      <c r="F290" s="44">
        <f t="shared" si="63"/>
        <v>-2.25</v>
      </c>
      <c r="G290" s="44">
        <f t="shared" si="63"/>
        <v>-1.625</v>
      </c>
      <c r="H290" s="44">
        <f t="shared" si="63"/>
        <v>-2.4375</v>
      </c>
      <c r="I290" s="44">
        <f t="shared" si="63"/>
        <v>-2.375</v>
      </c>
      <c r="J290" s="44">
        <f t="shared" si="63"/>
        <v>-3.0625</v>
      </c>
      <c r="K290" s="44">
        <f t="shared" si="63"/>
        <v>-2.8125</v>
      </c>
      <c r="L290" s="44">
        <f t="shared" si="63"/>
        <v>-2.6875</v>
      </c>
      <c r="M290" s="44">
        <f t="shared" si="63"/>
        <v>-2.3125</v>
      </c>
      <c r="N290" s="44">
        <f t="shared" si="63"/>
        <v>-2.125</v>
      </c>
      <c r="O290" s="44">
        <f t="shared" si="63"/>
        <v>-3</v>
      </c>
    </row>
    <row r="292">
      <c r="C292" s="57" t="s">
        <v>301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8"/>
    </row>
    <row r="293">
      <c r="C293" s="12" t="s">
        <v>76</v>
      </c>
      <c r="D293" s="59" t="s">
        <v>77</v>
      </c>
      <c r="E293" s="7"/>
      <c r="F293" s="8"/>
      <c r="G293" s="59" t="s">
        <v>78</v>
      </c>
      <c r="H293" s="7"/>
      <c r="I293" s="8"/>
      <c r="J293" s="59" t="s">
        <v>79</v>
      </c>
      <c r="K293" s="7"/>
      <c r="L293" s="8"/>
      <c r="M293" s="59" t="s">
        <v>80</v>
      </c>
      <c r="N293" s="7"/>
      <c r="O293" s="8"/>
    </row>
    <row r="294">
      <c r="C294" s="12" t="s">
        <v>141</v>
      </c>
      <c r="D294" s="31" t="s">
        <v>81</v>
      </c>
      <c r="E294" s="31" t="s">
        <v>82</v>
      </c>
      <c r="F294" s="31" t="s">
        <v>83</v>
      </c>
      <c r="G294" s="31" t="s">
        <v>84</v>
      </c>
      <c r="H294" s="31" t="s">
        <v>85</v>
      </c>
      <c r="I294" s="31" t="s">
        <v>86</v>
      </c>
      <c r="J294" s="31" t="s">
        <v>87</v>
      </c>
      <c r="K294" s="31" t="s">
        <v>88</v>
      </c>
      <c r="L294" s="31" t="s">
        <v>89</v>
      </c>
      <c r="M294" s="31" t="s">
        <v>90</v>
      </c>
      <c r="N294" s="31" t="s">
        <v>91</v>
      </c>
      <c r="O294" s="31" t="s">
        <v>92</v>
      </c>
    </row>
    <row r="295">
      <c r="C295" s="30" t="s">
        <v>306</v>
      </c>
      <c r="D295" s="34">
        <f t="shared" ref="D295:O295" si="64">SUM(D296:D309)</f>
        <v>49500</v>
      </c>
      <c r="E295" s="34">
        <f t="shared" si="64"/>
        <v>56500</v>
      </c>
      <c r="F295" s="34">
        <f t="shared" si="64"/>
        <v>57000</v>
      </c>
      <c r="G295" s="34">
        <f t="shared" si="64"/>
        <v>57000</v>
      </c>
      <c r="H295" s="34">
        <f t="shared" si="64"/>
        <v>64000</v>
      </c>
      <c r="I295" s="34">
        <f t="shared" si="64"/>
        <v>64000</v>
      </c>
      <c r="J295" s="34">
        <f t="shared" si="64"/>
        <v>77000</v>
      </c>
      <c r="K295" s="34">
        <f t="shared" si="64"/>
        <v>77000</v>
      </c>
      <c r="L295" s="34">
        <f t="shared" si="64"/>
        <v>78000</v>
      </c>
      <c r="M295" s="34">
        <f t="shared" si="64"/>
        <v>78000</v>
      </c>
      <c r="N295" s="34">
        <f t="shared" si="64"/>
        <v>78000</v>
      </c>
      <c r="O295" s="34">
        <f t="shared" si="64"/>
        <v>87000</v>
      </c>
    </row>
    <row r="296">
      <c r="C296" s="60" t="s">
        <v>307</v>
      </c>
      <c r="D296" s="63">
        <v>8000.0</v>
      </c>
      <c r="E296" s="63">
        <v>8000.0</v>
      </c>
      <c r="F296" s="63">
        <v>8000.0</v>
      </c>
      <c r="G296" s="63">
        <v>8000.0</v>
      </c>
      <c r="H296" s="63">
        <v>8000.0</v>
      </c>
      <c r="I296" s="63">
        <v>8000.0</v>
      </c>
      <c r="J296" s="63">
        <v>9000.0</v>
      </c>
      <c r="K296" s="63">
        <v>9000.0</v>
      </c>
      <c r="L296" s="63">
        <v>9000.0</v>
      </c>
      <c r="M296" s="63">
        <v>9000.0</v>
      </c>
      <c r="N296" s="63">
        <v>9000.0</v>
      </c>
      <c r="O296" s="63">
        <v>9000.0</v>
      </c>
    </row>
    <row r="297">
      <c r="C297" s="60" t="s">
        <v>308</v>
      </c>
      <c r="D297" s="63">
        <v>8000.0</v>
      </c>
      <c r="E297" s="63">
        <v>8000.0</v>
      </c>
      <c r="F297" s="63">
        <v>8000.0</v>
      </c>
      <c r="G297" s="63">
        <v>8000.0</v>
      </c>
      <c r="H297" s="63">
        <v>8000.0</v>
      </c>
      <c r="I297" s="63">
        <v>8000.0</v>
      </c>
      <c r="J297" s="63">
        <v>9000.0</v>
      </c>
      <c r="K297" s="63">
        <v>9000.0</v>
      </c>
      <c r="L297" s="63">
        <v>9000.0</v>
      </c>
      <c r="M297" s="63">
        <v>9000.0</v>
      </c>
      <c r="N297" s="63">
        <v>9000.0</v>
      </c>
      <c r="O297" s="63">
        <v>9000.0</v>
      </c>
    </row>
    <row r="298">
      <c r="C298" s="60" t="s">
        <v>309</v>
      </c>
      <c r="D298" s="63">
        <v>8000.0</v>
      </c>
      <c r="E298" s="63">
        <v>8000.0</v>
      </c>
      <c r="F298" s="63">
        <v>8000.0</v>
      </c>
      <c r="G298" s="63">
        <v>8000.0</v>
      </c>
      <c r="H298" s="63">
        <v>8000.0</v>
      </c>
      <c r="I298" s="63">
        <v>8000.0</v>
      </c>
      <c r="J298" s="63">
        <v>9000.0</v>
      </c>
      <c r="K298" s="63">
        <v>9000.0</v>
      </c>
      <c r="L298" s="63">
        <v>9000.0</v>
      </c>
      <c r="M298" s="63">
        <v>9000.0</v>
      </c>
      <c r="N298" s="63">
        <v>9000.0</v>
      </c>
      <c r="O298" s="63">
        <v>9000.0</v>
      </c>
    </row>
    <row r="299">
      <c r="C299" s="60" t="s">
        <v>310</v>
      </c>
      <c r="D299" s="63">
        <v>10000.0</v>
      </c>
      <c r="E299" s="63">
        <v>10000.0</v>
      </c>
      <c r="F299" s="63">
        <v>10000.0</v>
      </c>
      <c r="G299" s="63">
        <v>10000.0</v>
      </c>
      <c r="H299" s="63">
        <v>10000.0</v>
      </c>
      <c r="I299" s="63">
        <v>10000.0</v>
      </c>
      <c r="J299" s="63">
        <v>10000.0</v>
      </c>
      <c r="K299" s="63">
        <v>10000.0</v>
      </c>
      <c r="L299" s="63">
        <v>10000.0</v>
      </c>
      <c r="M299" s="63">
        <v>10000.0</v>
      </c>
      <c r="N299" s="63">
        <v>10000.0</v>
      </c>
      <c r="O299" s="63">
        <v>10000.0</v>
      </c>
    </row>
    <row r="300">
      <c r="C300" s="60" t="s">
        <v>311</v>
      </c>
      <c r="D300" s="63">
        <v>8000.0</v>
      </c>
      <c r="E300" s="63">
        <v>8000.0</v>
      </c>
      <c r="F300" s="63">
        <v>8000.0</v>
      </c>
      <c r="G300" s="63">
        <v>8000.0</v>
      </c>
      <c r="H300" s="63">
        <v>8000.0</v>
      </c>
      <c r="I300" s="63">
        <v>8000.0</v>
      </c>
      <c r="J300" s="63">
        <v>9000.0</v>
      </c>
      <c r="K300" s="63">
        <v>9000.0</v>
      </c>
      <c r="L300" s="63">
        <v>9000.0</v>
      </c>
      <c r="M300" s="63">
        <v>9000.0</v>
      </c>
      <c r="N300" s="63">
        <v>9000.0</v>
      </c>
      <c r="O300" s="63">
        <v>9000.0</v>
      </c>
    </row>
    <row r="301">
      <c r="C301" s="54" t="s">
        <v>312</v>
      </c>
      <c r="D301" s="63">
        <v>7500.0</v>
      </c>
      <c r="E301" s="63">
        <v>7500.0</v>
      </c>
      <c r="F301" s="63">
        <v>8000.0</v>
      </c>
      <c r="G301" s="63">
        <v>8000.0</v>
      </c>
      <c r="H301" s="63">
        <v>8000.0</v>
      </c>
      <c r="I301" s="63">
        <v>8000.0</v>
      </c>
      <c r="J301" s="63">
        <v>9000.0</v>
      </c>
      <c r="K301" s="63">
        <v>9000.0</v>
      </c>
      <c r="L301" s="63">
        <v>9000.0</v>
      </c>
      <c r="M301" s="63">
        <v>9000.0</v>
      </c>
      <c r="N301" s="63">
        <v>9000.0</v>
      </c>
      <c r="O301" s="63">
        <v>9000.0</v>
      </c>
    </row>
    <row r="302">
      <c r="C302" s="54" t="s">
        <v>168</v>
      </c>
      <c r="D302" s="63"/>
      <c r="E302" s="63">
        <v>7000.0</v>
      </c>
      <c r="F302" s="63">
        <v>7000.0</v>
      </c>
      <c r="G302" s="63">
        <v>7000.0</v>
      </c>
      <c r="H302" s="63">
        <v>7000.0</v>
      </c>
      <c r="I302" s="63">
        <v>7000.0</v>
      </c>
      <c r="J302" s="63">
        <v>7000.0</v>
      </c>
      <c r="K302" s="63">
        <v>7000.0</v>
      </c>
      <c r="L302" s="63">
        <v>7000.0</v>
      </c>
      <c r="M302" s="63">
        <v>7000.0</v>
      </c>
      <c r="N302" s="63">
        <v>7000.0</v>
      </c>
      <c r="O302" s="63">
        <v>7000.0</v>
      </c>
    </row>
    <row r="303">
      <c r="C303" s="54" t="s">
        <v>168</v>
      </c>
      <c r="D303" s="75"/>
      <c r="E303" s="63"/>
      <c r="F303" s="63"/>
      <c r="G303" s="63"/>
      <c r="H303" s="63">
        <v>7000.0</v>
      </c>
      <c r="I303" s="63">
        <v>7000.0</v>
      </c>
      <c r="J303" s="63">
        <v>7000.0</v>
      </c>
      <c r="K303" s="63">
        <v>7000.0</v>
      </c>
      <c r="L303" s="63">
        <v>7000.0</v>
      </c>
      <c r="M303" s="63">
        <v>7000.0</v>
      </c>
      <c r="N303" s="63">
        <v>7000.0</v>
      </c>
      <c r="O303" s="63">
        <v>7000.0</v>
      </c>
    </row>
    <row r="304">
      <c r="C304" s="54" t="s">
        <v>168</v>
      </c>
      <c r="D304" s="63"/>
      <c r="E304" s="63"/>
      <c r="F304" s="63"/>
      <c r="G304" s="63"/>
      <c r="H304" s="63"/>
      <c r="I304" s="63"/>
      <c r="J304" s="63">
        <v>8000.0</v>
      </c>
      <c r="K304" s="63">
        <v>8000.0</v>
      </c>
      <c r="L304" s="63">
        <v>9000.0</v>
      </c>
      <c r="M304" s="63">
        <v>9000.0</v>
      </c>
      <c r="N304" s="63">
        <v>9000.0</v>
      </c>
      <c r="O304" s="63">
        <v>9000.0</v>
      </c>
    </row>
    <row r="305">
      <c r="C305" s="54" t="s">
        <v>168</v>
      </c>
      <c r="D305" s="75"/>
      <c r="E305" s="75"/>
      <c r="F305" s="63"/>
      <c r="G305" s="63"/>
      <c r="H305" s="63"/>
      <c r="I305" s="63"/>
      <c r="J305" s="63"/>
      <c r="K305" s="63"/>
      <c r="L305" s="63"/>
      <c r="M305" s="63"/>
      <c r="N305" s="63"/>
      <c r="O305" s="63">
        <v>9000.0</v>
      </c>
    </row>
    <row r="306">
      <c r="C306" s="54" t="s">
        <v>168</v>
      </c>
      <c r="D306" s="55"/>
      <c r="E306" s="55"/>
      <c r="F306" s="55"/>
      <c r="G306" s="55"/>
      <c r="H306" s="55"/>
      <c r="I306" s="63"/>
      <c r="J306" s="63"/>
      <c r="K306" s="63"/>
      <c r="L306" s="63"/>
      <c r="M306" s="63"/>
      <c r="N306" s="63"/>
      <c r="O306" s="63"/>
    </row>
    <row r="307">
      <c r="C307" s="54" t="s">
        <v>168</v>
      </c>
      <c r="D307" s="55"/>
      <c r="E307" s="55"/>
      <c r="F307" s="55"/>
      <c r="G307" s="55"/>
      <c r="H307" s="55"/>
      <c r="I307" s="55"/>
      <c r="J307" s="63"/>
      <c r="K307" s="63"/>
      <c r="L307" s="63"/>
      <c r="M307" s="63"/>
      <c r="N307" s="63"/>
      <c r="O307" s="63"/>
    </row>
    <row r="308">
      <c r="C308" s="54" t="s">
        <v>168</v>
      </c>
      <c r="D308" s="55"/>
      <c r="E308" s="55"/>
      <c r="F308" s="55"/>
      <c r="G308" s="55"/>
      <c r="H308" s="55"/>
      <c r="I308" s="55"/>
      <c r="J308" s="55"/>
      <c r="K308" s="63"/>
      <c r="L308" s="63"/>
      <c r="M308" s="63"/>
      <c r="N308" s="63"/>
      <c r="O308" s="63"/>
    </row>
    <row r="309">
      <c r="C309" s="54" t="s">
        <v>168</v>
      </c>
      <c r="D309" s="55"/>
      <c r="E309" s="55"/>
      <c r="F309" s="55"/>
      <c r="G309" s="55"/>
      <c r="H309" s="55"/>
      <c r="I309" s="55"/>
      <c r="J309" s="55"/>
      <c r="K309" s="55"/>
      <c r="L309" s="63"/>
      <c r="M309" s="63"/>
      <c r="N309" s="63"/>
      <c r="O309" s="63"/>
    </row>
    <row r="311">
      <c r="B311" s="57" t="s">
        <v>313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</row>
    <row r="312">
      <c r="B312" s="12" t="s">
        <v>141</v>
      </c>
      <c r="C312" s="31" t="s">
        <v>92</v>
      </c>
      <c r="D312" s="31" t="s">
        <v>81</v>
      </c>
      <c r="E312" s="31" t="s">
        <v>82</v>
      </c>
      <c r="F312" s="31" t="s">
        <v>83</v>
      </c>
      <c r="G312" s="31" t="s">
        <v>84</v>
      </c>
      <c r="H312" s="31" t="s">
        <v>85</v>
      </c>
      <c r="I312" s="31" t="s">
        <v>86</v>
      </c>
      <c r="J312" s="31" t="s">
        <v>87</v>
      </c>
      <c r="K312" s="31" t="s">
        <v>88</v>
      </c>
      <c r="L312" s="31" t="s">
        <v>89</v>
      </c>
      <c r="M312" s="31" t="s">
        <v>90</v>
      </c>
      <c r="N312" s="31" t="s">
        <v>91</v>
      </c>
      <c r="O312" s="31" t="s">
        <v>92</v>
      </c>
      <c r="P312" s="81" t="s">
        <v>93</v>
      </c>
    </row>
    <row r="313">
      <c r="B313" s="30" t="s">
        <v>314</v>
      </c>
      <c r="C313" s="42">
        <v>12.0</v>
      </c>
      <c r="D313" s="42">
        <f t="shared" ref="D313:O313" si="65">count(D323:D337)</f>
        <v>13</v>
      </c>
      <c r="E313" s="42">
        <f t="shared" si="65"/>
        <v>13</v>
      </c>
      <c r="F313" s="42">
        <f t="shared" si="65"/>
        <v>13</v>
      </c>
      <c r="G313" s="42">
        <f t="shared" si="65"/>
        <v>14</v>
      </c>
      <c r="H313" s="42">
        <f t="shared" si="65"/>
        <v>14</v>
      </c>
      <c r="I313" s="42">
        <f t="shared" si="65"/>
        <v>14</v>
      </c>
      <c r="J313" s="42">
        <f t="shared" si="65"/>
        <v>15</v>
      </c>
      <c r="K313" s="42">
        <f t="shared" si="65"/>
        <v>15</v>
      </c>
      <c r="L313" s="42">
        <f t="shared" si="65"/>
        <v>15</v>
      </c>
      <c r="M313" s="42">
        <f t="shared" si="65"/>
        <v>15</v>
      </c>
      <c r="N313" s="42">
        <f t="shared" si="65"/>
        <v>15</v>
      </c>
      <c r="O313" s="42">
        <f t="shared" si="65"/>
        <v>15</v>
      </c>
      <c r="R313" s="13" t="s">
        <v>315</v>
      </c>
      <c r="S313" s="13" t="s">
        <v>316</v>
      </c>
      <c r="T313" s="13" t="s">
        <v>317</v>
      </c>
      <c r="U313" s="13" t="s">
        <v>318</v>
      </c>
    </row>
    <row r="314">
      <c r="B314" s="12" t="s">
        <v>319</v>
      </c>
      <c r="C314" s="82"/>
      <c r="D314" s="83">
        <v>150000.0</v>
      </c>
      <c r="E314" s="83">
        <v>150000.0</v>
      </c>
      <c r="F314" s="83">
        <v>150000.0</v>
      </c>
      <c r="G314" s="83">
        <v>200000.0</v>
      </c>
      <c r="H314" s="83">
        <v>200000.0</v>
      </c>
      <c r="I314" s="83">
        <v>200000.0</v>
      </c>
      <c r="J314" s="83">
        <v>220000.0</v>
      </c>
      <c r="K314" s="83">
        <v>220000.0</v>
      </c>
      <c r="L314" s="83">
        <v>220000.0</v>
      </c>
      <c r="M314" s="83">
        <v>220000.0</v>
      </c>
      <c r="N314" s="83">
        <v>220000.0</v>
      </c>
      <c r="O314" s="83">
        <v>220000.0</v>
      </c>
      <c r="P314" s="83">
        <f>sum(D314:O314)</f>
        <v>2370000</v>
      </c>
      <c r="R314" s="83">
        <v>524000.0</v>
      </c>
      <c r="S314" s="83">
        <v>1900000.0</v>
      </c>
      <c r="T314" s="83">
        <v>100000.0</v>
      </c>
      <c r="U314" s="83">
        <v>160000.0</v>
      </c>
    </row>
    <row r="315">
      <c r="B315" s="30" t="s">
        <v>320</v>
      </c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</row>
    <row r="316">
      <c r="B316" s="30" t="s">
        <v>321</v>
      </c>
      <c r="C316" s="80"/>
      <c r="D316" s="38">
        <f t="shared" ref="D316:O316" si="66">1-(D322+D343)/D314</f>
        <v>0.5766666667</v>
      </c>
      <c r="E316" s="38">
        <f t="shared" si="66"/>
        <v>0.5633333333</v>
      </c>
      <c r="F316" s="38">
        <f t="shared" si="66"/>
        <v>0.5433333333</v>
      </c>
      <c r="G316" s="38">
        <f t="shared" si="66"/>
        <v>0.5825</v>
      </c>
      <c r="H316" s="38">
        <f t="shared" si="66"/>
        <v>0.5775</v>
      </c>
      <c r="I316" s="38">
        <f t="shared" si="66"/>
        <v>0.575</v>
      </c>
      <c r="J316" s="38">
        <f t="shared" si="66"/>
        <v>0.5659090909</v>
      </c>
      <c r="K316" s="38">
        <f t="shared" si="66"/>
        <v>0.5659090909</v>
      </c>
      <c r="L316" s="38">
        <f t="shared" si="66"/>
        <v>0.5568181818</v>
      </c>
      <c r="M316" s="38">
        <f t="shared" si="66"/>
        <v>0.5454545455</v>
      </c>
      <c r="N316" s="38">
        <f t="shared" si="66"/>
        <v>0.5454545455</v>
      </c>
      <c r="O316" s="38">
        <f t="shared" si="66"/>
        <v>0.5454545455</v>
      </c>
    </row>
    <row r="317">
      <c r="B317" s="30" t="s">
        <v>322</v>
      </c>
      <c r="C317" s="55"/>
      <c r="D317" s="38">
        <f t="shared" ref="D317:O317" si="67">1-D316</f>
        <v>0.4233333333</v>
      </c>
      <c r="E317" s="38">
        <f t="shared" si="67"/>
        <v>0.4366666667</v>
      </c>
      <c r="F317" s="38">
        <f t="shared" si="67"/>
        <v>0.4566666667</v>
      </c>
      <c r="G317" s="38">
        <f t="shared" si="67"/>
        <v>0.4175</v>
      </c>
      <c r="H317" s="38">
        <f t="shared" si="67"/>
        <v>0.4225</v>
      </c>
      <c r="I317" s="38">
        <f t="shared" si="67"/>
        <v>0.425</v>
      </c>
      <c r="J317" s="38">
        <f t="shared" si="67"/>
        <v>0.4340909091</v>
      </c>
      <c r="K317" s="38">
        <f t="shared" si="67"/>
        <v>0.4340909091</v>
      </c>
      <c r="L317" s="38">
        <f t="shared" si="67"/>
        <v>0.4431818182</v>
      </c>
      <c r="M317" s="38">
        <f t="shared" si="67"/>
        <v>0.4545454545</v>
      </c>
      <c r="N317" s="38">
        <f t="shared" si="67"/>
        <v>0.4545454545</v>
      </c>
      <c r="O317" s="38">
        <f t="shared" si="67"/>
        <v>0.4545454545</v>
      </c>
    </row>
    <row r="319">
      <c r="C319" s="57" t="s">
        <v>313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</row>
    <row r="320">
      <c r="C320" s="12" t="s">
        <v>76</v>
      </c>
      <c r="D320" s="59" t="s">
        <v>77</v>
      </c>
      <c r="E320" s="7"/>
      <c r="F320" s="8"/>
      <c r="G320" s="59" t="s">
        <v>78</v>
      </c>
      <c r="H320" s="7"/>
      <c r="I320" s="8"/>
      <c r="J320" s="59" t="s">
        <v>79</v>
      </c>
      <c r="K320" s="7"/>
      <c r="L320" s="8"/>
      <c r="M320" s="59" t="s">
        <v>80</v>
      </c>
      <c r="N320" s="7"/>
      <c r="O320" s="8"/>
    </row>
    <row r="321">
      <c r="C321" s="12" t="s">
        <v>141</v>
      </c>
      <c r="D321" s="31" t="s">
        <v>81</v>
      </c>
      <c r="E321" s="31" t="s">
        <v>82</v>
      </c>
      <c r="F321" s="31" t="s">
        <v>83</v>
      </c>
      <c r="G321" s="31" t="s">
        <v>84</v>
      </c>
      <c r="H321" s="31" t="s">
        <v>85</v>
      </c>
      <c r="I321" s="31" t="s">
        <v>86</v>
      </c>
      <c r="J321" s="31" t="s">
        <v>87</v>
      </c>
      <c r="K321" s="31" t="s">
        <v>88</v>
      </c>
      <c r="L321" s="31" t="s">
        <v>89</v>
      </c>
      <c r="M321" s="31" t="s">
        <v>90</v>
      </c>
      <c r="N321" s="31" t="s">
        <v>91</v>
      </c>
      <c r="O321" s="31" t="s">
        <v>92</v>
      </c>
    </row>
    <row r="322">
      <c r="C322" s="12" t="s">
        <v>323</v>
      </c>
      <c r="D322" s="49">
        <f t="shared" ref="D322:O322" si="68">SUM(D323:D337)</f>
        <v>58500</v>
      </c>
      <c r="E322" s="49">
        <f t="shared" si="68"/>
        <v>58500</v>
      </c>
      <c r="F322" s="49">
        <f t="shared" si="68"/>
        <v>58500</v>
      </c>
      <c r="G322" s="49">
        <f t="shared" si="68"/>
        <v>71000</v>
      </c>
      <c r="H322" s="49">
        <f t="shared" si="68"/>
        <v>72000</v>
      </c>
      <c r="I322" s="49">
        <f t="shared" si="68"/>
        <v>72500</v>
      </c>
      <c r="J322" s="49">
        <f t="shared" si="68"/>
        <v>83000</v>
      </c>
      <c r="K322" s="49">
        <f t="shared" si="68"/>
        <v>83000</v>
      </c>
      <c r="L322" s="49">
        <f t="shared" si="68"/>
        <v>85000</v>
      </c>
      <c r="M322" s="49">
        <f t="shared" si="68"/>
        <v>90000</v>
      </c>
      <c r="N322" s="49">
        <f t="shared" si="68"/>
        <v>90000</v>
      </c>
      <c r="O322" s="49">
        <f t="shared" si="68"/>
        <v>90000</v>
      </c>
    </row>
    <row r="323">
      <c r="C323" s="30" t="s">
        <v>324</v>
      </c>
      <c r="D323" s="34">
        <v>10000.0</v>
      </c>
      <c r="E323" s="34">
        <v>10000.0</v>
      </c>
      <c r="F323" s="34">
        <v>10000.0</v>
      </c>
      <c r="G323" s="34">
        <v>10000.0</v>
      </c>
      <c r="H323" s="34">
        <v>11000.0</v>
      </c>
      <c r="I323" s="34">
        <v>11000.0</v>
      </c>
      <c r="J323" s="34">
        <v>12000.0</v>
      </c>
      <c r="K323" s="34">
        <v>12000.0</v>
      </c>
      <c r="L323" s="34">
        <v>12000.0</v>
      </c>
      <c r="M323" s="34">
        <v>12000.0</v>
      </c>
      <c r="N323" s="34">
        <v>12000.0</v>
      </c>
      <c r="O323" s="34">
        <v>12000.0</v>
      </c>
    </row>
    <row r="324">
      <c r="B324" s="32"/>
      <c r="C324" s="30" t="s">
        <v>325</v>
      </c>
      <c r="D324" s="34">
        <v>7500.0</v>
      </c>
      <c r="E324" s="34">
        <v>7500.0</v>
      </c>
      <c r="F324" s="34">
        <v>7500.0</v>
      </c>
      <c r="G324" s="34">
        <v>7500.0</v>
      </c>
      <c r="H324" s="34">
        <v>7500.0</v>
      </c>
      <c r="I324" s="34">
        <v>7500.0</v>
      </c>
      <c r="J324" s="34">
        <v>8000.0</v>
      </c>
      <c r="K324" s="34">
        <v>8000.0</v>
      </c>
      <c r="L324" s="34">
        <v>8000.0</v>
      </c>
      <c r="M324" s="34">
        <v>8000.0</v>
      </c>
      <c r="N324" s="34">
        <v>8000.0</v>
      </c>
      <c r="O324" s="34">
        <v>8000.0</v>
      </c>
    </row>
    <row r="325">
      <c r="C325" s="84" t="s">
        <v>326</v>
      </c>
      <c r="D325" s="34">
        <v>4000.0</v>
      </c>
      <c r="E325" s="34">
        <v>4000.0</v>
      </c>
      <c r="F325" s="34">
        <v>4000.0</v>
      </c>
      <c r="G325" s="34">
        <v>4500.0</v>
      </c>
      <c r="H325" s="34">
        <v>4500.0</v>
      </c>
      <c r="I325" s="34">
        <v>4500.0</v>
      </c>
      <c r="J325" s="34">
        <v>4500.0</v>
      </c>
      <c r="K325" s="34">
        <v>4500.0</v>
      </c>
      <c r="L325" s="34">
        <v>4500.0</v>
      </c>
      <c r="M325" s="34">
        <v>5000.0</v>
      </c>
      <c r="N325" s="34">
        <v>5000.0</v>
      </c>
      <c r="O325" s="34">
        <v>5000.0</v>
      </c>
    </row>
    <row r="326">
      <c r="C326" s="30" t="s">
        <v>327</v>
      </c>
      <c r="D326" s="34">
        <v>4000.0</v>
      </c>
      <c r="E326" s="34">
        <v>4000.0</v>
      </c>
      <c r="F326" s="34">
        <v>4000.0</v>
      </c>
      <c r="G326" s="34">
        <v>4500.0</v>
      </c>
      <c r="H326" s="34">
        <v>4500.0</v>
      </c>
      <c r="I326" s="34">
        <v>4500.0</v>
      </c>
      <c r="J326" s="34">
        <v>4500.0</v>
      </c>
      <c r="K326" s="34">
        <v>4500.0</v>
      </c>
      <c r="L326" s="34">
        <v>4500.0</v>
      </c>
      <c r="M326" s="34">
        <v>4500.0</v>
      </c>
      <c r="N326" s="34">
        <v>4500.0</v>
      </c>
      <c r="O326" s="34">
        <v>4500.0</v>
      </c>
    </row>
    <row r="327">
      <c r="C327" s="30" t="s">
        <v>328</v>
      </c>
      <c r="D327" s="34">
        <v>2500.0</v>
      </c>
      <c r="E327" s="34">
        <v>2500.0</v>
      </c>
      <c r="F327" s="34">
        <v>2500.0</v>
      </c>
      <c r="G327" s="34">
        <v>4000.0</v>
      </c>
      <c r="H327" s="34">
        <v>4000.0</v>
      </c>
      <c r="I327" s="34">
        <v>4000.0</v>
      </c>
      <c r="J327" s="34">
        <v>4000.0</v>
      </c>
      <c r="K327" s="34">
        <v>4000.0</v>
      </c>
      <c r="L327" s="34">
        <v>4000.0</v>
      </c>
      <c r="M327" s="34">
        <v>5000.0</v>
      </c>
      <c r="N327" s="34">
        <v>5000.0</v>
      </c>
      <c r="O327" s="34">
        <v>5000.0</v>
      </c>
    </row>
    <row r="328">
      <c r="C328" s="84" t="s">
        <v>329</v>
      </c>
      <c r="D328" s="34">
        <v>2000.0</v>
      </c>
      <c r="E328" s="34">
        <v>2000.0</v>
      </c>
      <c r="F328" s="34">
        <v>2000.0</v>
      </c>
      <c r="G328" s="34">
        <v>2500.0</v>
      </c>
      <c r="H328" s="34">
        <v>2500.0</v>
      </c>
      <c r="I328" s="34">
        <v>2500.0</v>
      </c>
      <c r="J328" s="34">
        <v>3000.0</v>
      </c>
      <c r="K328" s="34">
        <v>3000.0</v>
      </c>
      <c r="L328" s="34">
        <v>3000.0</v>
      </c>
      <c r="M328" s="34">
        <v>3500.0</v>
      </c>
      <c r="N328" s="34">
        <v>3500.0</v>
      </c>
      <c r="O328" s="34">
        <v>3500.0</v>
      </c>
    </row>
    <row r="329">
      <c r="C329" s="84" t="s">
        <v>330</v>
      </c>
      <c r="D329" s="34">
        <v>1000.0</v>
      </c>
      <c r="E329" s="34">
        <v>1000.0</v>
      </c>
      <c r="F329" s="34">
        <v>1000.0</v>
      </c>
      <c r="G329" s="34">
        <v>1500.0</v>
      </c>
      <c r="H329" s="34">
        <v>1500.0</v>
      </c>
      <c r="I329" s="34">
        <v>1500.0</v>
      </c>
      <c r="J329" s="34">
        <v>2000.0</v>
      </c>
      <c r="K329" s="34">
        <v>2000.0</v>
      </c>
      <c r="L329" s="34">
        <v>2000.0</v>
      </c>
      <c r="M329" s="34">
        <v>2000.0</v>
      </c>
      <c r="N329" s="34">
        <v>2000.0</v>
      </c>
      <c r="O329" s="34">
        <v>2000.0</v>
      </c>
    </row>
    <row r="330">
      <c r="C330" s="30" t="s">
        <v>331</v>
      </c>
      <c r="D330" s="34">
        <v>3000.0</v>
      </c>
      <c r="E330" s="34">
        <v>3000.0</v>
      </c>
      <c r="F330" s="34">
        <v>3000.0</v>
      </c>
      <c r="G330" s="34">
        <v>3500.0</v>
      </c>
      <c r="H330" s="34">
        <v>3500.0</v>
      </c>
      <c r="I330" s="34">
        <v>3500.0</v>
      </c>
      <c r="J330" s="34">
        <v>4000.0</v>
      </c>
      <c r="K330" s="34">
        <v>4000.0</v>
      </c>
      <c r="L330" s="34">
        <v>4000.0</v>
      </c>
      <c r="M330" s="34">
        <v>4500.0</v>
      </c>
      <c r="N330" s="34">
        <v>4500.0</v>
      </c>
      <c r="O330" s="34">
        <v>4500.0</v>
      </c>
    </row>
    <row r="331">
      <c r="C331" s="30" t="s">
        <v>332</v>
      </c>
      <c r="D331" s="34">
        <v>1500.0</v>
      </c>
      <c r="E331" s="34">
        <v>1500.0</v>
      </c>
      <c r="F331" s="34">
        <v>1500.0</v>
      </c>
      <c r="G331" s="34">
        <v>2000.0</v>
      </c>
      <c r="H331" s="34">
        <v>2000.0</v>
      </c>
      <c r="I331" s="34">
        <v>2000.0</v>
      </c>
      <c r="J331" s="34">
        <v>2500.0</v>
      </c>
      <c r="K331" s="34">
        <v>2500.0</v>
      </c>
      <c r="L331" s="34">
        <v>2500.0</v>
      </c>
      <c r="M331" s="34">
        <v>3000.0</v>
      </c>
      <c r="N331" s="34">
        <v>3000.0</v>
      </c>
      <c r="O331" s="34">
        <v>3000.0</v>
      </c>
    </row>
    <row r="332">
      <c r="C332" s="30" t="s">
        <v>333</v>
      </c>
      <c r="D332" s="34">
        <v>5000.0</v>
      </c>
      <c r="E332" s="34">
        <v>5000.0</v>
      </c>
      <c r="F332" s="34">
        <v>5000.0</v>
      </c>
      <c r="G332" s="34">
        <v>5000.0</v>
      </c>
      <c r="H332" s="34">
        <v>5000.0</v>
      </c>
      <c r="I332" s="34">
        <v>5000.0</v>
      </c>
      <c r="J332" s="34">
        <v>5500.0</v>
      </c>
      <c r="K332" s="34">
        <v>5500.0</v>
      </c>
      <c r="L332" s="34">
        <v>5500.0</v>
      </c>
      <c r="M332" s="34">
        <v>6000.0</v>
      </c>
      <c r="N332" s="34">
        <v>6000.0</v>
      </c>
      <c r="O332" s="34">
        <v>6000.0</v>
      </c>
    </row>
    <row r="333">
      <c r="C333" s="30" t="s">
        <v>334</v>
      </c>
      <c r="D333" s="34">
        <v>4000.0</v>
      </c>
      <c r="E333" s="34">
        <v>4000.0</v>
      </c>
      <c r="F333" s="34">
        <v>4000.0</v>
      </c>
      <c r="G333" s="34">
        <v>4500.0</v>
      </c>
      <c r="H333" s="34">
        <v>4500.0</v>
      </c>
      <c r="I333" s="34">
        <v>4500.0</v>
      </c>
      <c r="J333" s="34">
        <v>5000.0</v>
      </c>
      <c r="K333" s="34">
        <v>5000.0</v>
      </c>
      <c r="L333" s="34">
        <v>5000.0</v>
      </c>
      <c r="M333" s="34">
        <v>5500.0</v>
      </c>
      <c r="N333" s="34">
        <v>5500.0</v>
      </c>
      <c r="O333" s="34">
        <v>5500.0</v>
      </c>
    </row>
    <row r="334">
      <c r="C334" s="54" t="s">
        <v>335</v>
      </c>
      <c r="D334" s="34">
        <v>8500.0</v>
      </c>
      <c r="E334" s="34">
        <v>8500.0</v>
      </c>
      <c r="F334" s="34">
        <v>8500.0</v>
      </c>
      <c r="G334" s="34">
        <v>9000.0</v>
      </c>
      <c r="H334" s="34">
        <v>9000.0</v>
      </c>
      <c r="I334" s="34">
        <v>9000.0</v>
      </c>
      <c r="J334" s="34">
        <v>11000.0</v>
      </c>
      <c r="K334" s="34">
        <v>11000.0</v>
      </c>
      <c r="L334" s="34">
        <v>11000.0</v>
      </c>
      <c r="M334" s="34">
        <v>11000.0</v>
      </c>
      <c r="N334" s="34">
        <v>11000.0</v>
      </c>
      <c r="O334" s="34">
        <v>11000.0</v>
      </c>
    </row>
    <row r="335">
      <c r="C335" s="54" t="s">
        <v>336</v>
      </c>
      <c r="D335" s="34">
        <v>5500.0</v>
      </c>
      <c r="E335" s="34">
        <v>5500.0</v>
      </c>
      <c r="F335" s="34">
        <v>5500.0</v>
      </c>
      <c r="G335" s="34">
        <v>5500.0</v>
      </c>
      <c r="H335" s="34">
        <v>5500.0</v>
      </c>
      <c r="I335" s="34">
        <v>6000.0</v>
      </c>
      <c r="J335" s="34">
        <v>6000.0</v>
      </c>
      <c r="K335" s="34">
        <v>6000.0</v>
      </c>
      <c r="L335" s="34">
        <v>7000.0</v>
      </c>
      <c r="M335" s="34">
        <v>7000.0</v>
      </c>
      <c r="N335" s="34">
        <v>7000.0</v>
      </c>
      <c r="O335" s="34">
        <v>7000.0</v>
      </c>
    </row>
    <row r="336">
      <c r="C336" s="54" t="s">
        <v>337</v>
      </c>
      <c r="D336" s="55"/>
      <c r="E336" s="55"/>
      <c r="F336" s="55"/>
      <c r="G336" s="34">
        <v>7000.0</v>
      </c>
      <c r="H336" s="34">
        <v>7000.0</v>
      </c>
      <c r="I336" s="34">
        <v>7000.0</v>
      </c>
      <c r="J336" s="34">
        <v>7000.0</v>
      </c>
      <c r="K336" s="34">
        <v>7000.0</v>
      </c>
      <c r="L336" s="34">
        <v>7000.0</v>
      </c>
      <c r="M336" s="34">
        <v>8000.0</v>
      </c>
      <c r="N336" s="34">
        <v>8000.0</v>
      </c>
      <c r="O336" s="34">
        <v>8000.0</v>
      </c>
    </row>
    <row r="337">
      <c r="C337" s="54" t="s">
        <v>338</v>
      </c>
      <c r="D337" s="34"/>
      <c r="E337" s="34"/>
      <c r="F337" s="34"/>
      <c r="G337" s="34"/>
      <c r="H337" s="34"/>
      <c r="I337" s="34"/>
      <c r="J337" s="34">
        <v>4000.0</v>
      </c>
      <c r="K337" s="34">
        <v>4000.0</v>
      </c>
      <c r="L337" s="34">
        <v>5000.0</v>
      </c>
      <c r="M337" s="34">
        <v>5000.0</v>
      </c>
      <c r="N337" s="34">
        <v>5000.0</v>
      </c>
      <c r="O337" s="34">
        <v>5000.0</v>
      </c>
    </row>
    <row r="339">
      <c r="C339" s="85" t="s">
        <v>339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</row>
    <row r="340">
      <c r="C340" s="86" t="s">
        <v>76</v>
      </c>
      <c r="D340" s="87" t="s">
        <v>77</v>
      </c>
      <c r="E340" s="7"/>
      <c r="F340" s="8"/>
      <c r="G340" s="87" t="s">
        <v>78</v>
      </c>
      <c r="H340" s="7"/>
      <c r="I340" s="8"/>
      <c r="J340" s="87" t="s">
        <v>79</v>
      </c>
      <c r="K340" s="7"/>
      <c r="L340" s="8"/>
      <c r="M340" s="87" t="s">
        <v>80</v>
      </c>
      <c r="N340" s="7"/>
      <c r="O340" s="8"/>
    </row>
    <row r="341">
      <c r="C341" s="86" t="s">
        <v>141</v>
      </c>
      <c r="D341" s="88" t="s">
        <v>81</v>
      </c>
      <c r="E341" s="88" t="s">
        <v>82</v>
      </c>
      <c r="F341" s="88" t="s">
        <v>83</v>
      </c>
      <c r="G341" s="88" t="s">
        <v>84</v>
      </c>
      <c r="H341" s="88" t="s">
        <v>85</v>
      </c>
      <c r="I341" s="88" t="s">
        <v>86</v>
      </c>
      <c r="J341" s="88" t="s">
        <v>87</v>
      </c>
      <c r="K341" s="88" t="s">
        <v>88</v>
      </c>
      <c r="L341" s="88" t="s">
        <v>89</v>
      </c>
      <c r="M341" s="88" t="s">
        <v>90</v>
      </c>
      <c r="N341" s="88" t="s">
        <v>91</v>
      </c>
      <c r="O341" s="88" t="s">
        <v>92</v>
      </c>
    </row>
    <row r="342">
      <c r="C342" s="54" t="s">
        <v>340</v>
      </c>
      <c r="D342" s="61">
        <f t="shared" ref="D342:O342" si="69">SUM(D343:D345)</f>
        <v>39854.4</v>
      </c>
      <c r="E342" s="61">
        <f t="shared" si="69"/>
        <v>44306.304</v>
      </c>
      <c r="F342" s="61">
        <f t="shared" si="69"/>
        <v>49537.53664</v>
      </c>
      <c r="G342" s="61">
        <f t="shared" si="69"/>
        <v>55447.95834</v>
      </c>
      <c r="H342" s="61">
        <f t="shared" si="69"/>
        <v>57750.64209</v>
      </c>
      <c r="I342" s="61">
        <f t="shared" si="69"/>
        <v>59846.0843</v>
      </c>
      <c r="J342" s="61">
        <f t="shared" si="69"/>
        <v>63232.93672</v>
      </c>
      <c r="K342" s="61">
        <f t="shared" si="69"/>
        <v>65514.17241</v>
      </c>
      <c r="L342" s="61">
        <f t="shared" si="69"/>
        <v>67590.09689</v>
      </c>
      <c r="M342" s="61">
        <f t="shared" si="69"/>
        <v>68459.18817</v>
      </c>
      <c r="N342" s="61">
        <f t="shared" si="69"/>
        <v>70724.26124</v>
      </c>
      <c r="O342" s="61">
        <f t="shared" si="69"/>
        <v>72785.47773</v>
      </c>
    </row>
    <row r="343">
      <c r="C343" s="54" t="s">
        <v>341</v>
      </c>
      <c r="D343" s="63">
        <v>5000.0</v>
      </c>
      <c r="E343" s="63">
        <v>7000.0</v>
      </c>
      <c r="F343" s="63">
        <v>10000.0</v>
      </c>
      <c r="G343" s="63">
        <v>12500.0</v>
      </c>
      <c r="H343" s="63">
        <v>12500.0</v>
      </c>
      <c r="I343" s="63">
        <v>12500.0</v>
      </c>
      <c r="J343" s="63">
        <v>12500.0</v>
      </c>
      <c r="K343" s="63">
        <v>12500.0</v>
      </c>
      <c r="L343" s="63">
        <v>12500.0</v>
      </c>
      <c r="M343" s="63">
        <v>10000.0</v>
      </c>
      <c r="N343" s="63">
        <v>10000.0</v>
      </c>
      <c r="O343" s="63">
        <v>10000.0</v>
      </c>
    </row>
    <row r="344">
      <c r="C344" s="54" t="s">
        <v>342</v>
      </c>
      <c r="D344" s="63">
        <v>10000.0</v>
      </c>
      <c r="E344" s="63">
        <v>10000.0</v>
      </c>
      <c r="F344" s="63">
        <v>10000.0</v>
      </c>
      <c r="G344" s="63">
        <v>10000.0</v>
      </c>
      <c r="H344" s="63">
        <v>10000.0</v>
      </c>
      <c r="I344" s="63">
        <v>10000.0</v>
      </c>
      <c r="J344" s="63">
        <v>10000.0</v>
      </c>
      <c r="K344" s="63">
        <v>10000.0</v>
      </c>
      <c r="L344" s="63">
        <v>10000.0</v>
      </c>
      <c r="M344" s="63">
        <v>10000.0</v>
      </c>
      <c r="N344" s="63">
        <v>10000.0</v>
      </c>
      <c r="O344" s="63">
        <v>10000.0</v>
      </c>
    </row>
    <row r="345">
      <c r="C345" s="54" t="s">
        <v>343</v>
      </c>
      <c r="D345" s="63">
        <f t="shared" ref="D345:O345" si="70">D84*8%</f>
        <v>24854.4</v>
      </c>
      <c r="E345" s="63">
        <f t="shared" si="70"/>
        <v>27306.304</v>
      </c>
      <c r="F345" s="63">
        <f t="shared" si="70"/>
        <v>29537.53664</v>
      </c>
      <c r="G345" s="63">
        <f t="shared" si="70"/>
        <v>32947.95834</v>
      </c>
      <c r="H345" s="63">
        <f t="shared" si="70"/>
        <v>35250.64209</v>
      </c>
      <c r="I345" s="63">
        <f t="shared" si="70"/>
        <v>37346.0843</v>
      </c>
      <c r="J345" s="63">
        <f t="shared" si="70"/>
        <v>40732.93672</v>
      </c>
      <c r="K345" s="63">
        <f t="shared" si="70"/>
        <v>43014.17241</v>
      </c>
      <c r="L345" s="63">
        <f t="shared" si="70"/>
        <v>45090.09689</v>
      </c>
      <c r="M345" s="63">
        <f t="shared" si="70"/>
        <v>48459.18817</v>
      </c>
      <c r="N345" s="63">
        <f t="shared" si="70"/>
        <v>50724.26124</v>
      </c>
      <c r="O345" s="63">
        <f t="shared" si="70"/>
        <v>52785.47773</v>
      </c>
    </row>
    <row r="381">
      <c r="E381" s="89"/>
    </row>
  </sheetData>
  <mergeCells count="72">
    <mergeCell ref="C233:O233"/>
    <mergeCell ref="D234:F234"/>
    <mergeCell ref="G234:I234"/>
    <mergeCell ref="J234:L234"/>
    <mergeCell ref="M234:O234"/>
    <mergeCell ref="B253:O253"/>
    <mergeCell ref="C262:O262"/>
    <mergeCell ref="G293:I293"/>
    <mergeCell ref="J293:L293"/>
    <mergeCell ref="D263:F263"/>
    <mergeCell ref="G263:I263"/>
    <mergeCell ref="J263:L263"/>
    <mergeCell ref="M263:O263"/>
    <mergeCell ref="B283:O283"/>
    <mergeCell ref="C292:O292"/>
    <mergeCell ref="D293:F293"/>
    <mergeCell ref="C339:O339"/>
    <mergeCell ref="D340:F340"/>
    <mergeCell ref="G340:I340"/>
    <mergeCell ref="J340:L340"/>
    <mergeCell ref="M340:O340"/>
    <mergeCell ref="M293:O293"/>
    <mergeCell ref="B311:O311"/>
    <mergeCell ref="C319:O319"/>
    <mergeCell ref="D320:F320"/>
    <mergeCell ref="G320:I320"/>
    <mergeCell ref="J320:L320"/>
    <mergeCell ref="M320:O320"/>
    <mergeCell ref="C2:O2"/>
    <mergeCell ref="B9:O9"/>
    <mergeCell ref="C21:O21"/>
    <mergeCell ref="D22:F22"/>
    <mergeCell ref="G22:I22"/>
    <mergeCell ref="J22:L22"/>
    <mergeCell ref="M22:O22"/>
    <mergeCell ref="B52:O52"/>
    <mergeCell ref="C61:O61"/>
    <mergeCell ref="D62:F62"/>
    <mergeCell ref="G62:I62"/>
    <mergeCell ref="J62:L62"/>
    <mergeCell ref="M62:O62"/>
    <mergeCell ref="B82:O82"/>
    <mergeCell ref="C93:O93"/>
    <mergeCell ref="D94:F94"/>
    <mergeCell ref="G94:I94"/>
    <mergeCell ref="J94:L94"/>
    <mergeCell ref="M94:O94"/>
    <mergeCell ref="B112:O112"/>
    <mergeCell ref="C121:O121"/>
    <mergeCell ref="G150:I150"/>
    <mergeCell ref="J150:L150"/>
    <mergeCell ref="D122:F122"/>
    <mergeCell ref="G122:I122"/>
    <mergeCell ref="J122:L122"/>
    <mergeCell ref="M122:O122"/>
    <mergeCell ref="B138:O138"/>
    <mergeCell ref="C149:O149"/>
    <mergeCell ref="D150:F150"/>
    <mergeCell ref="M150:O150"/>
    <mergeCell ref="B170:O170"/>
    <mergeCell ref="C179:O179"/>
    <mergeCell ref="D180:F180"/>
    <mergeCell ref="G180:I180"/>
    <mergeCell ref="J180:L180"/>
    <mergeCell ref="M180:O180"/>
    <mergeCell ref="B199:O199"/>
    <mergeCell ref="C210:O210"/>
    <mergeCell ref="D211:F211"/>
    <mergeCell ref="G211:I211"/>
    <mergeCell ref="J211:L211"/>
    <mergeCell ref="M211:O211"/>
    <mergeCell ref="B222:O22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3.5"/>
    <col customWidth="1" min="3" max="3" width="13.38"/>
    <col customWidth="1" min="5" max="6" width="13.38"/>
    <col customWidth="1" min="7" max="7" width="12.88"/>
    <col customWidth="1" min="8" max="12" width="13.38"/>
    <col customWidth="1" min="14" max="14" width="13.38"/>
    <col customWidth="1" min="15" max="15" width="11.88"/>
    <col customWidth="1" min="16" max="17" width="14.25"/>
  </cols>
  <sheetData>
    <row r="1" ht="9.75" customHeight="1">
      <c r="O1" s="25"/>
      <c r="P1" s="26"/>
      <c r="Q1" s="26"/>
    </row>
    <row r="2">
      <c r="B2" s="27" t="s">
        <v>76</v>
      </c>
      <c r="C2" s="28" t="s">
        <v>77</v>
      </c>
      <c r="D2" s="7"/>
      <c r="E2" s="8"/>
      <c r="F2" s="28" t="s">
        <v>78</v>
      </c>
      <c r="G2" s="7"/>
      <c r="H2" s="8"/>
      <c r="I2" s="28" t="s">
        <v>79</v>
      </c>
      <c r="J2" s="7"/>
      <c r="K2" s="8"/>
      <c r="L2" s="28" t="s">
        <v>80</v>
      </c>
      <c r="M2" s="7"/>
      <c r="N2" s="8"/>
      <c r="O2" s="25"/>
      <c r="P2" s="11"/>
      <c r="Q2" s="26"/>
      <c r="R2" s="29" t="s">
        <v>77</v>
      </c>
      <c r="S2" s="8"/>
    </row>
    <row r="3">
      <c r="B3" s="30"/>
      <c r="C3" s="13" t="s">
        <v>81</v>
      </c>
      <c r="D3" s="13" t="s">
        <v>82</v>
      </c>
      <c r="E3" s="13" t="s">
        <v>83</v>
      </c>
      <c r="F3" s="13" t="s">
        <v>84</v>
      </c>
      <c r="G3" s="13" t="s">
        <v>85</v>
      </c>
      <c r="H3" s="13" t="s">
        <v>86</v>
      </c>
      <c r="I3" s="13" t="s">
        <v>87</v>
      </c>
      <c r="J3" s="13" t="s">
        <v>88</v>
      </c>
      <c r="K3" s="13" t="s">
        <v>89</v>
      </c>
      <c r="L3" s="13" t="s">
        <v>90</v>
      </c>
      <c r="M3" s="13" t="s">
        <v>91</v>
      </c>
      <c r="N3" s="13" t="s">
        <v>92</v>
      </c>
      <c r="O3" s="31" t="s">
        <v>93</v>
      </c>
      <c r="P3" s="32"/>
      <c r="Q3" s="26"/>
      <c r="R3" s="30" t="s">
        <v>94</v>
      </c>
      <c r="S3" s="33">
        <v>0.06</v>
      </c>
    </row>
    <row r="4">
      <c r="B4" s="30" t="s">
        <v>95</v>
      </c>
      <c r="C4" s="34">
        <f>Revenue!D5</f>
        <v>1156850</v>
      </c>
      <c r="D4" s="34">
        <f>Revenue!E5</f>
        <v>1267733.5</v>
      </c>
      <c r="E4" s="34">
        <f>Revenue!F5</f>
        <v>1368637.485</v>
      </c>
      <c r="F4" s="34">
        <f>Revenue!G5</f>
        <v>1485460.111</v>
      </c>
      <c r="G4" s="34">
        <f>Revenue!H5</f>
        <v>1591768.701</v>
      </c>
      <c r="H4" s="34">
        <f>Revenue!I5</f>
        <v>1688509.518</v>
      </c>
      <c r="I4" s="34">
        <f>Revenue!J5</f>
        <v>1806543.662</v>
      </c>
      <c r="J4" s="34">
        <f>Revenue!K5</f>
        <v>1913954.732</v>
      </c>
      <c r="K4" s="34">
        <f>Revenue!L5</f>
        <v>2011698.806</v>
      </c>
      <c r="L4" s="34">
        <f>Revenue!M5</f>
        <v>2130645.914</v>
      </c>
      <c r="M4" s="34">
        <f>Revenue!N5</f>
        <v>2238887.781</v>
      </c>
      <c r="N4" s="34">
        <f>Revenue!O5</f>
        <v>2337387.881</v>
      </c>
      <c r="O4" s="35">
        <f t="shared" ref="O4:O6" si="1">sum(C4:N4)</f>
        <v>20998078.09</v>
      </c>
      <c r="R4" s="2"/>
      <c r="S4" s="36"/>
    </row>
    <row r="5">
      <c r="B5" s="30" t="s">
        <v>96</v>
      </c>
      <c r="C5" s="35">
        <f>Revenue!D37</f>
        <v>240000</v>
      </c>
      <c r="D5" s="35">
        <f>Revenue!E37</f>
        <v>280000</v>
      </c>
      <c r="E5" s="35">
        <f>Revenue!F37</f>
        <v>270000</v>
      </c>
      <c r="F5" s="35">
        <f>Revenue!G37</f>
        <v>288333.3333</v>
      </c>
      <c r="G5" s="35">
        <f>Revenue!H37</f>
        <v>306666.6667</v>
      </c>
      <c r="H5" s="35">
        <f>Revenue!I37</f>
        <v>325000</v>
      </c>
      <c r="I5" s="35">
        <f>Revenue!J37</f>
        <v>343333.3333</v>
      </c>
      <c r="J5" s="35">
        <f>Revenue!K37</f>
        <v>361666.6667</v>
      </c>
      <c r="K5" s="35">
        <f>Revenue!L37</f>
        <v>380000</v>
      </c>
      <c r="L5" s="35">
        <f>Revenue!M37</f>
        <v>398333.3333</v>
      </c>
      <c r="M5" s="35">
        <f>Revenue!N37</f>
        <v>416666.6667</v>
      </c>
      <c r="N5" s="35">
        <f>Revenue!O37</f>
        <v>435000</v>
      </c>
      <c r="O5" s="35">
        <f t="shared" si="1"/>
        <v>4045000</v>
      </c>
      <c r="P5" s="26"/>
      <c r="Q5" s="26"/>
      <c r="R5" s="29" t="s">
        <v>78</v>
      </c>
      <c r="S5" s="8"/>
    </row>
    <row r="6">
      <c r="B6" s="30" t="s">
        <v>97</v>
      </c>
      <c r="C6" s="34">
        <f>'Outras Receitas'!C15</f>
        <v>20766.66667</v>
      </c>
      <c r="D6" s="34">
        <f>'Outras Receitas'!D15</f>
        <v>60408</v>
      </c>
      <c r="E6" s="34">
        <f>'Outras Receitas'!E15</f>
        <v>25626.66667</v>
      </c>
      <c r="F6" s="34">
        <f>'Outras Receitas'!F15</f>
        <v>43076.66667</v>
      </c>
      <c r="G6" s="34">
        <f>'Outras Receitas'!G15</f>
        <v>90096.66667</v>
      </c>
      <c r="H6" s="34">
        <f>'Outras Receitas'!H15</f>
        <v>48783.33333</v>
      </c>
      <c r="I6" s="34">
        <f>'Outras Receitas'!I15</f>
        <v>85573.33333</v>
      </c>
      <c r="J6" s="34">
        <f>'Outras Receitas'!J15</f>
        <v>135713.3333</v>
      </c>
      <c r="K6" s="34">
        <f>'Outras Receitas'!K15</f>
        <v>79046.66667</v>
      </c>
      <c r="L6" s="34">
        <f>'Outras Receitas'!L15</f>
        <v>137006.6667</v>
      </c>
      <c r="M6" s="34">
        <f>'Outras Receitas'!M15</f>
        <v>177006.6667</v>
      </c>
      <c r="N6" s="34">
        <f>'Outras Receitas'!N15</f>
        <v>137006.6667</v>
      </c>
      <c r="O6" s="35">
        <f t="shared" si="1"/>
        <v>1040111.333</v>
      </c>
      <c r="P6" s="26"/>
      <c r="Q6" s="26"/>
      <c r="R6" s="30" t="s">
        <v>94</v>
      </c>
      <c r="S6" s="33">
        <v>0.06</v>
      </c>
    </row>
    <row r="7">
      <c r="B7" s="12" t="s">
        <v>98</v>
      </c>
      <c r="C7" s="37">
        <f t="shared" ref="C7:O7" si="2">C4+C5+C6</f>
        <v>1417616.667</v>
      </c>
      <c r="D7" s="37">
        <f t="shared" si="2"/>
        <v>1608141.5</v>
      </c>
      <c r="E7" s="37">
        <f t="shared" si="2"/>
        <v>1664264.152</v>
      </c>
      <c r="F7" s="37">
        <f t="shared" si="2"/>
        <v>1816870.111</v>
      </c>
      <c r="G7" s="37">
        <f t="shared" si="2"/>
        <v>1988532.035</v>
      </c>
      <c r="H7" s="37">
        <f t="shared" si="2"/>
        <v>2062292.852</v>
      </c>
      <c r="I7" s="37">
        <f t="shared" si="2"/>
        <v>2235450.328</v>
      </c>
      <c r="J7" s="37">
        <f t="shared" si="2"/>
        <v>2411334.732</v>
      </c>
      <c r="K7" s="37">
        <f t="shared" si="2"/>
        <v>2470745.473</v>
      </c>
      <c r="L7" s="37">
        <f t="shared" si="2"/>
        <v>2665985.914</v>
      </c>
      <c r="M7" s="37">
        <f t="shared" si="2"/>
        <v>2832561.115</v>
      </c>
      <c r="N7" s="37">
        <f t="shared" si="2"/>
        <v>2909394.548</v>
      </c>
      <c r="O7" s="37">
        <f t="shared" si="2"/>
        <v>26083189.42</v>
      </c>
      <c r="P7" s="26"/>
      <c r="Q7" s="26"/>
    </row>
    <row r="8">
      <c r="B8" s="30" t="s">
        <v>99</v>
      </c>
      <c r="C8" s="35">
        <f t="shared" ref="C8:E8" si="3">C7*$S$3</f>
        <v>85057</v>
      </c>
      <c r="D8" s="35">
        <f t="shared" si="3"/>
        <v>96488.49</v>
      </c>
      <c r="E8" s="35">
        <f t="shared" si="3"/>
        <v>99855.8491</v>
      </c>
      <c r="F8" s="35">
        <f t="shared" ref="F8:H8" si="4">F7*$S$6</f>
        <v>109012.2067</v>
      </c>
      <c r="G8" s="35">
        <f t="shared" si="4"/>
        <v>119311.9221</v>
      </c>
      <c r="H8" s="35">
        <f t="shared" si="4"/>
        <v>123737.5711</v>
      </c>
      <c r="I8" s="35">
        <f t="shared" ref="I8:K8" si="5">I7*$S$9</f>
        <v>134127.0197</v>
      </c>
      <c r="J8" s="35">
        <f t="shared" si="5"/>
        <v>144680.0839</v>
      </c>
      <c r="K8" s="35">
        <f t="shared" si="5"/>
        <v>148244.7284</v>
      </c>
      <c r="L8" s="35">
        <f t="shared" ref="L8:N8" si="6">L7*$S$12</f>
        <v>159959.1548</v>
      </c>
      <c r="M8" s="35">
        <f t="shared" si="6"/>
        <v>169953.6669</v>
      </c>
      <c r="N8" s="35">
        <f t="shared" si="6"/>
        <v>174563.6729</v>
      </c>
      <c r="O8" s="35">
        <f t="shared" ref="O8:O17" si="7">sum(C8:N8)</f>
        <v>1564991.365</v>
      </c>
      <c r="P8" s="38">
        <f t="shared" ref="P8:P9" si="8">O8/$O$7</f>
        <v>0.06</v>
      </c>
      <c r="Q8" s="26"/>
      <c r="R8" s="29" t="s">
        <v>79</v>
      </c>
      <c r="S8" s="8"/>
    </row>
    <row r="9">
      <c r="B9" s="30" t="s">
        <v>100</v>
      </c>
      <c r="C9" s="35">
        <f>'Tributário'!F11+'Tributário'!F12+'Tributário'!F13</f>
        <v>133132.2988</v>
      </c>
      <c r="D9" s="35">
        <f>'Tributário'!G11+'Tributário'!G12+'Tributário'!G13</f>
        <v>150146.1664</v>
      </c>
      <c r="E9" s="35">
        <f>'Tributário'!H11+'Tributário'!H12+'Tributário'!H13</f>
        <v>155157.9192</v>
      </c>
      <c r="F9" s="35">
        <f>'Tributário'!I11+'Tributário'!I12+'Tributário'!I13</f>
        <v>170420.414</v>
      </c>
      <c r="G9" s="35">
        <f>'Tributário'!J11+'Tributário'!J12+'Tributário'!J13</f>
        <v>185749.8237</v>
      </c>
      <c r="H9" s="35">
        <f>'Tributário'!K11+'Tributário'!K12+'Tributário'!K13</f>
        <v>192336.6647</v>
      </c>
      <c r="I9" s="35">
        <f>'Tributário'!L11+'Tributário'!L12+'Tributário'!L13</f>
        <v>207799.6274</v>
      </c>
      <c r="J9" s="35">
        <f>'Tributário'!M11+'Tributário'!M12+'Tributário'!M13</f>
        <v>223506.1046</v>
      </c>
      <c r="K9" s="35">
        <f>'Tributário'!N11+'Tributário'!N12+'Tributário'!N13</f>
        <v>228811.4838</v>
      </c>
      <c r="L9" s="35">
        <f>'Tributário'!O11+'Tributário'!O12+'Tributário'!O13</f>
        <v>246246.4551</v>
      </c>
      <c r="M9" s="35">
        <f>'Tributário'!P11+'Tributário'!P12+'Tributário'!P13</f>
        <v>261121.6206</v>
      </c>
      <c r="N9" s="35">
        <f>'Tributário'!Q11+'Tributário'!Q12+'Tributário'!Q13</f>
        <v>267982.8462</v>
      </c>
      <c r="O9" s="35">
        <f t="shared" si="7"/>
        <v>2422411.424</v>
      </c>
      <c r="P9" s="38">
        <f t="shared" si="8"/>
        <v>0.09287251589</v>
      </c>
      <c r="Q9" s="26"/>
      <c r="R9" s="30" t="s">
        <v>94</v>
      </c>
      <c r="S9" s="33">
        <v>0.06</v>
      </c>
    </row>
    <row r="10">
      <c r="B10" s="12" t="s">
        <v>101</v>
      </c>
      <c r="C10" s="37">
        <f t="shared" ref="C10:N10" si="9">C7-C8-C9</f>
        <v>1199427.368</v>
      </c>
      <c r="D10" s="37">
        <f t="shared" si="9"/>
        <v>1361506.844</v>
      </c>
      <c r="E10" s="37">
        <f t="shared" si="9"/>
        <v>1409250.383</v>
      </c>
      <c r="F10" s="37">
        <f t="shared" si="9"/>
        <v>1537437.491</v>
      </c>
      <c r="G10" s="37">
        <f t="shared" si="9"/>
        <v>1683470.289</v>
      </c>
      <c r="H10" s="37">
        <f t="shared" si="9"/>
        <v>1746218.616</v>
      </c>
      <c r="I10" s="37">
        <f t="shared" si="9"/>
        <v>1893523.681</v>
      </c>
      <c r="J10" s="37">
        <f t="shared" si="9"/>
        <v>2043148.543</v>
      </c>
      <c r="K10" s="37">
        <f t="shared" si="9"/>
        <v>2093689.261</v>
      </c>
      <c r="L10" s="37">
        <f t="shared" si="9"/>
        <v>2259780.304</v>
      </c>
      <c r="M10" s="37">
        <f t="shared" si="9"/>
        <v>2401485.827</v>
      </c>
      <c r="N10" s="37">
        <f t="shared" si="9"/>
        <v>2466848.029</v>
      </c>
      <c r="O10" s="37">
        <f t="shared" si="7"/>
        <v>22095786.64</v>
      </c>
      <c r="Q10" s="39">
        <f>O10/$O$7</f>
        <v>0.8471274841</v>
      </c>
    </row>
    <row r="11">
      <c r="B11" s="30" t="s">
        <v>344</v>
      </c>
      <c r="C11" s="35">
        <f>CSV!D4</f>
        <v>345754.4</v>
      </c>
      <c r="D11" s="35">
        <f>CSV!E4</f>
        <v>380706.304</v>
      </c>
      <c r="E11" s="35">
        <f>CSV!F4</f>
        <v>399437.5366</v>
      </c>
      <c r="F11" s="35">
        <f>CSV!G4</f>
        <v>465597.9583</v>
      </c>
      <c r="G11" s="35">
        <f>CSV!H4</f>
        <v>488400.6421</v>
      </c>
      <c r="H11" s="35">
        <f>CSV!I4</f>
        <v>495996.0843</v>
      </c>
      <c r="I11" s="35">
        <f>CSV!J4</f>
        <v>557632.9367</v>
      </c>
      <c r="J11" s="35">
        <f>CSV!K4</f>
        <v>583914.1724</v>
      </c>
      <c r="K11" s="35">
        <f>CSV!L4</f>
        <v>598990.0969</v>
      </c>
      <c r="L11" s="35">
        <f>CSV!M4</f>
        <v>647359.1882</v>
      </c>
      <c r="M11" s="35">
        <f>CSV!N4</f>
        <v>662874.2612</v>
      </c>
      <c r="N11" s="35">
        <f>CSV!O4</f>
        <v>687435.4777</v>
      </c>
      <c r="O11" s="35">
        <f t="shared" si="7"/>
        <v>6314099.059</v>
      </c>
      <c r="P11" s="38">
        <f>O11/$O$7</f>
        <v>0.2420754209</v>
      </c>
      <c r="Q11" s="26"/>
      <c r="R11" s="29" t="s">
        <v>80</v>
      </c>
      <c r="S11" s="8"/>
    </row>
    <row r="12">
      <c r="B12" s="12" t="s">
        <v>105</v>
      </c>
      <c r="C12" s="37">
        <f t="shared" ref="C12:N12" si="10">C10-C11</f>
        <v>853672.9679</v>
      </c>
      <c r="D12" s="37">
        <f t="shared" si="10"/>
        <v>980800.5396</v>
      </c>
      <c r="E12" s="37">
        <f t="shared" si="10"/>
        <v>1009812.847</v>
      </c>
      <c r="F12" s="37">
        <f t="shared" si="10"/>
        <v>1071839.532</v>
      </c>
      <c r="G12" s="37">
        <f t="shared" si="10"/>
        <v>1195069.647</v>
      </c>
      <c r="H12" s="37">
        <f t="shared" si="10"/>
        <v>1250222.531</v>
      </c>
      <c r="I12" s="37">
        <f t="shared" si="10"/>
        <v>1335890.744</v>
      </c>
      <c r="J12" s="37">
        <f t="shared" si="10"/>
        <v>1459234.371</v>
      </c>
      <c r="K12" s="37">
        <f t="shared" si="10"/>
        <v>1494699.164</v>
      </c>
      <c r="L12" s="37">
        <f t="shared" si="10"/>
        <v>1612421.115</v>
      </c>
      <c r="M12" s="37">
        <f t="shared" si="10"/>
        <v>1738611.566</v>
      </c>
      <c r="N12" s="37">
        <f t="shared" si="10"/>
        <v>1779412.551</v>
      </c>
      <c r="O12" s="37">
        <f t="shared" si="7"/>
        <v>15781687.58</v>
      </c>
      <c r="Q12" s="39">
        <f>O12/$O$7</f>
        <v>0.6050520632</v>
      </c>
      <c r="R12" s="30" t="s">
        <v>94</v>
      </c>
      <c r="S12" s="33">
        <v>0.06</v>
      </c>
    </row>
    <row r="13">
      <c r="B13" s="30" t="s">
        <v>106</v>
      </c>
      <c r="C13" s="35">
        <f>CAC!C6</f>
        <v>262495.7095</v>
      </c>
      <c r="D13" s="35">
        <f>CAC!D6</f>
        <v>285895.7095</v>
      </c>
      <c r="E13" s="35">
        <f>CAC!E6</f>
        <v>311895.7095</v>
      </c>
      <c r="F13" s="35">
        <f>CAC!F6</f>
        <v>337573.7742</v>
      </c>
      <c r="G13" s="35">
        <f>CAC!G6</f>
        <v>422573.7742</v>
      </c>
      <c r="H13" s="35">
        <f>CAC!H6</f>
        <v>362573.7742</v>
      </c>
      <c r="I13" s="35">
        <f>CAC!I6</f>
        <v>453925.1753</v>
      </c>
      <c r="J13" s="35">
        <f>CAC!J6</f>
        <v>371925.1753</v>
      </c>
      <c r="K13" s="35">
        <f>CAC!K6</f>
        <v>384925.1753</v>
      </c>
      <c r="L13" s="35">
        <f>CAC!L6</f>
        <v>420776.5765</v>
      </c>
      <c r="M13" s="35">
        <f>CAC!M6</f>
        <v>405776.5765</v>
      </c>
      <c r="N13" s="35">
        <f>CAC!N6</f>
        <v>428776.5765</v>
      </c>
      <c r="O13" s="35">
        <f t="shared" si="7"/>
        <v>4449113.707</v>
      </c>
      <c r="P13" s="38">
        <f t="shared" ref="P13:P14" si="11">O13/$O$7</f>
        <v>0.1705739906</v>
      </c>
      <c r="Q13" s="26"/>
    </row>
    <row r="14">
      <c r="B14" s="30" t="s">
        <v>107</v>
      </c>
      <c r="C14" s="35">
        <f>'SG&amp;A'!C6</f>
        <v>298446</v>
      </c>
      <c r="D14" s="35">
        <f>'SG&amp;A'!D6</f>
        <v>292038</v>
      </c>
      <c r="E14" s="35">
        <f>'SG&amp;A'!E6</f>
        <v>294283</v>
      </c>
      <c r="F14" s="35">
        <f>'SG&amp;A'!F6</f>
        <v>292041</v>
      </c>
      <c r="G14" s="35">
        <f>'SG&amp;A'!G6</f>
        <v>294837</v>
      </c>
      <c r="H14" s="35">
        <f>'SG&amp;A'!H6</f>
        <v>299735</v>
      </c>
      <c r="I14" s="35">
        <f>'SG&amp;A'!I6</f>
        <v>317499</v>
      </c>
      <c r="J14" s="35">
        <f>'SG&amp;A'!J6</f>
        <v>304744</v>
      </c>
      <c r="K14" s="35">
        <f>'SG&amp;A'!K6</f>
        <v>306091</v>
      </c>
      <c r="L14" s="35">
        <f>'SG&amp;A'!L6</f>
        <v>330004</v>
      </c>
      <c r="M14" s="35">
        <f>'SG&amp;A'!M6</f>
        <v>341651</v>
      </c>
      <c r="N14" s="35">
        <f>'SG&amp;A'!N6</f>
        <v>363847</v>
      </c>
      <c r="O14" s="35">
        <f t="shared" si="7"/>
        <v>3735216</v>
      </c>
      <c r="P14" s="38">
        <f t="shared" si="11"/>
        <v>0.1432039594</v>
      </c>
      <c r="Q14" s="26"/>
    </row>
    <row r="15">
      <c r="B15" s="12" t="s">
        <v>109</v>
      </c>
      <c r="C15" s="37">
        <f t="shared" ref="C15:N15" si="12">C12-C13-C14</f>
        <v>292731.2584</v>
      </c>
      <c r="D15" s="37">
        <f t="shared" si="12"/>
        <v>402866.8301</v>
      </c>
      <c r="E15" s="37">
        <f t="shared" si="12"/>
        <v>403634.1373</v>
      </c>
      <c r="F15" s="37">
        <f t="shared" si="12"/>
        <v>442224.7582</v>
      </c>
      <c r="G15" s="37">
        <f t="shared" si="12"/>
        <v>477658.8726</v>
      </c>
      <c r="H15" s="37">
        <f t="shared" si="12"/>
        <v>587913.7573</v>
      </c>
      <c r="I15" s="37">
        <f t="shared" si="12"/>
        <v>564466.5691</v>
      </c>
      <c r="J15" s="37">
        <f t="shared" si="12"/>
        <v>782565.1957</v>
      </c>
      <c r="K15" s="37">
        <f t="shared" si="12"/>
        <v>803682.9884</v>
      </c>
      <c r="L15" s="37">
        <f t="shared" si="12"/>
        <v>861640.5389</v>
      </c>
      <c r="M15" s="37">
        <f t="shared" si="12"/>
        <v>991183.9895</v>
      </c>
      <c r="N15" s="37">
        <f t="shared" si="12"/>
        <v>986788.9744</v>
      </c>
      <c r="O15" s="37">
        <f t="shared" si="7"/>
        <v>7597357.87</v>
      </c>
      <c r="P15" s="39"/>
      <c r="Q15" s="39">
        <f>O15/$O$7</f>
        <v>0.2912741132</v>
      </c>
    </row>
    <row r="16">
      <c r="B16" s="30" t="s">
        <v>345</v>
      </c>
      <c r="C16" s="35">
        <f>'Tributário'!F14</f>
        <v>99528.62786</v>
      </c>
      <c r="D16" s="35">
        <f>'Tributário'!G14</f>
        <v>136974.7222</v>
      </c>
      <c r="E16" s="35">
        <f>'Tributário'!H14</f>
        <v>137235.6067</v>
      </c>
      <c r="F16" s="35">
        <f>'Tributário'!I14</f>
        <v>150356.4178</v>
      </c>
      <c r="G16" s="35">
        <f>'Tributário'!J14</f>
        <v>162404.0167</v>
      </c>
      <c r="H16" s="35">
        <f>'Tributário'!K14</f>
        <v>199890.6775</v>
      </c>
      <c r="I16" s="35">
        <f>'Tributário'!L14</f>
        <v>191918.6335</v>
      </c>
      <c r="J16" s="35">
        <f>'Tributário'!M14</f>
        <v>266072.1666</v>
      </c>
      <c r="K16" s="35">
        <f>'Tributário'!N14</f>
        <v>273252.2161</v>
      </c>
      <c r="L16" s="35">
        <f>'Tributário'!O14</f>
        <v>292957.7832</v>
      </c>
      <c r="M16" s="35">
        <f>'Tributário'!P14</f>
        <v>337002.5564</v>
      </c>
      <c r="N16" s="35">
        <f>'Tributário'!Q14</f>
        <v>335508.2513</v>
      </c>
      <c r="O16" s="35">
        <f t="shared" si="7"/>
        <v>2583101.676</v>
      </c>
      <c r="P16" s="38">
        <f t="shared" ref="P16:P18" si="13">O16/$O$7</f>
        <v>0.0990331985</v>
      </c>
      <c r="Q16" s="26"/>
    </row>
    <row r="17">
      <c r="B17" s="30" t="s">
        <v>111</v>
      </c>
      <c r="C17" s="34">
        <f>'CAPEX e Giro'!D5</f>
        <v>35000</v>
      </c>
      <c r="D17" s="34">
        <f>'CAPEX e Giro'!E5</f>
        <v>35000</v>
      </c>
      <c r="E17" s="34">
        <f>'CAPEX e Giro'!F5</f>
        <v>35000</v>
      </c>
      <c r="F17" s="34">
        <f>'CAPEX e Giro'!G5</f>
        <v>35000</v>
      </c>
      <c r="G17" s="34">
        <f>'CAPEX e Giro'!H5</f>
        <v>35000</v>
      </c>
      <c r="H17" s="34">
        <f>'CAPEX e Giro'!I5</f>
        <v>35000</v>
      </c>
      <c r="I17" s="34">
        <f>'CAPEX e Giro'!J5</f>
        <v>35000</v>
      </c>
      <c r="J17" s="34">
        <f>'CAPEX e Giro'!K5</f>
        <v>35000</v>
      </c>
      <c r="K17" s="34">
        <f>'CAPEX e Giro'!L5</f>
        <v>35000</v>
      </c>
      <c r="L17" s="34">
        <f>'CAPEX e Giro'!M5</f>
        <v>35000</v>
      </c>
      <c r="M17" s="34">
        <f>'CAPEX e Giro'!N5</f>
        <v>35000</v>
      </c>
      <c r="N17" s="34">
        <f>'CAPEX e Giro'!O5</f>
        <v>35000</v>
      </c>
      <c r="O17" s="35">
        <f t="shared" si="7"/>
        <v>420000</v>
      </c>
      <c r="P17" s="38">
        <f t="shared" si="13"/>
        <v>0.01610232526</v>
      </c>
      <c r="Q17" s="26"/>
    </row>
    <row r="18">
      <c r="B18" s="12" t="s">
        <v>112</v>
      </c>
      <c r="C18" s="37">
        <f t="shared" ref="C18:O18" si="14">C15-C16-C17</f>
        <v>158202.6306</v>
      </c>
      <c r="D18" s="37">
        <f t="shared" si="14"/>
        <v>230892.1079</v>
      </c>
      <c r="E18" s="37">
        <f t="shared" si="14"/>
        <v>231398.5306</v>
      </c>
      <c r="F18" s="37">
        <f t="shared" si="14"/>
        <v>256868.3404</v>
      </c>
      <c r="G18" s="37">
        <f t="shared" si="14"/>
        <v>280254.8559</v>
      </c>
      <c r="H18" s="37">
        <f t="shared" si="14"/>
        <v>353023.0798</v>
      </c>
      <c r="I18" s="37">
        <f t="shared" si="14"/>
        <v>337547.9356</v>
      </c>
      <c r="J18" s="37">
        <f t="shared" si="14"/>
        <v>481493.0292</v>
      </c>
      <c r="K18" s="37">
        <f t="shared" si="14"/>
        <v>495430.7724</v>
      </c>
      <c r="L18" s="37">
        <f t="shared" si="14"/>
        <v>533682.7557</v>
      </c>
      <c r="M18" s="37">
        <f t="shared" si="14"/>
        <v>619181.433</v>
      </c>
      <c r="N18" s="37">
        <f t="shared" si="14"/>
        <v>616280.7231</v>
      </c>
      <c r="O18" s="37">
        <f t="shared" si="14"/>
        <v>4594256.194</v>
      </c>
      <c r="P18" s="40">
        <f t="shared" si="13"/>
        <v>0.1761385895</v>
      </c>
    </row>
    <row r="19">
      <c r="B19" s="30" t="s">
        <v>113</v>
      </c>
      <c r="C19" s="38">
        <f t="shared" ref="C19:N19" si="15">C18/C7</f>
        <v>0.1115976091</v>
      </c>
      <c r="D19" s="38">
        <f t="shared" si="15"/>
        <v>0.1435769849</v>
      </c>
      <c r="E19" s="38">
        <f t="shared" si="15"/>
        <v>0.1390395451</v>
      </c>
      <c r="F19" s="38">
        <f t="shared" si="15"/>
        <v>0.1413795839</v>
      </c>
      <c r="G19" s="38">
        <f t="shared" si="15"/>
        <v>0.14093555</v>
      </c>
      <c r="H19" s="38">
        <f t="shared" si="15"/>
        <v>0.1711798979</v>
      </c>
      <c r="I19" s="38">
        <f t="shared" si="15"/>
        <v>0.1509977347</v>
      </c>
      <c r="J19" s="38">
        <f t="shared" si="15"/>
        <v>0.1996790503</v>
      </c>
      <c r="K19" s="38">
        <f t="shared" si="15"/>
        <v>0.2005187413</v>
      </c>
      <c r="L19" s="38">
        <f t="shared" si="15"/>
        <v>0.2001821364</v>
      </c>
      <c r="M19" s="38">
        <f t="shared" si="15"/>
        <v>0.2185942008</v>
      </c>
      <c r="N19" s="38">
        <f t="shared" si="15"/>
        <v>0.2118243892</v>
      </c>
      <c r="O19" s="38"/>
      <c r="P19" s="39"/>
    </row>
    <row r="20">
      <c r="O20" s="25"/>
    </row>
    <row r="21">
      <c r="B21" s="28" t="s">
        <v>114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25"/>
      <c r="P21" s="26"/>
      <c r="Q21" s="26"/>
    </row>
    <row r="22">
      <c r="B22" s="31" t="s">
        <v>115</v>
      </c>
      <c r="C22" s="35">
        <f t="shared" ref="C22:N22" si="16">C7-C8</f>
        <v>1332559.667</v>
      </c>
      <c r="D22" s="35">
        <f t="shared" si="16"/>
        <v>1511653.01</v>
      </c>
      <c r="E22" s="35">
        <f t="shared" si="16"/>
        <v>1564408.303</v>
      </c>
      <c r="F22" s="35">
        <f t="shared" si="16"/>
        <v>1707857.905</v>
      </c>
      <c r="G22" s="35">
        <f t="shared" si="16"/>
        <v>1869220.113</v>
      </c>
      <c r="H22" s="35">
        <f t="shared" si="16"/>
        <v>1938555.28</v>
      </c>
      <c r="I22" s="35">
        <f t="shared" si="16"/>
        <v>2101323.309</v>
      </c>
      <c r="J22" s="35">
        <f t="shared" si="16"/>
        <v>2266654.648</v>
      </c>
      <c r="K22" s="35">
        <f t="shared" si="16"/>
        <v>2322500.744</v>
      </c>
      <c r="L22" s="35">
        <f t="shared" si="16"/>
        <v>2506026.759</v>
      </c>
      <c r="M22" s="35">
        <f t="shared" si="16"/>
        <v>2662607.448</v>
      </c>
      <c r="N22" s="35">
        <f t="shared" si="16"/>
        <v>2734830.875</v>
      </c>
      <c r="O22" s="25"/>
      <c r="P22" s="26"/>
      <c r="Q22" s="26"/>
    </row>
    <row r="23">
      <c r="B23" s="31" t="s">
        <v>116</v>
      </c>
      <c r="C23" s="35">
        <f t="shared" ref="C23:N23" si="17">C9+C11+C13+C14+C16+C17</f>
        <v>1174357.036</v>
      </c>
      <c r="D23" s="35">
        <f t="shared" si="17"/>
        <v>1280760.902</v>
      </c>
      <c r="E23" s="35">
        <f t="shared" si="17"/>
        <v>1333009.772</v>
      </c>
      <c r="F23" s="35">
        <f t="shared" si="17"/>
        <v>1450989.564</v>
      </c>
      <c r="G23" s="35">
        <f t="shared" si="17"/>
        <v>1588965.257</v>
      </c>
      <c r="H23" s="35">
        <f t="shared" si="17"/>
        <v>1585532.201</v>
      </c>
      <c r="I23" s="35">
        <f t="shared" si="17"/>
        <v>1763775.373</v>
      </c>
      <c r="J23" s="35">
        <f t="shared" si="17"/>
        <v>1785161.619</v>
      </c>
      <c r="K23" s="35">
        <f t="shared" si="17"/>
        <v>1827069.972</v>
      </c>
      <c r="L23" s="35">
        <f t="shared" si="17"/>
        <v>1972344.003</v>
      </c>
      <c r="M23" s="35">
        <f t="shared" si="17"/>
        <v>2043426.015</v>
      </c>
      <c r="N23" s="35">
        <f t="shared" si="17"/>
        <v>2118550.152</v>
      </c>
      <c r="O23" s="25"/>
      <c r="P23" s="26"/>
      <c r="Q23" s="26"/>
    </row>
    <row r="24">
      <c r="B24" s="31" t="s">
        <v>117</v>
      </c>
      <c r="C24" s="35">
        <f>CAC!Q7</f>
        <v>215000</v>
      </c>
      <c r="D24" s="35">
        <f>CAC!R7</f>
        <v>215000</v>
      </c>
      <c r="E24" s="35">
        <f>CAC!S7</f>
        <v>215000</v>
      </c>
      <c r="F24" s="35">
        <f>CAC!T7</f>
        <v>240000</v>
      </c>
      <c r="G24" s="35">
        <f>CAC!U7</f>
        <v>240000</v>
      </c>
      <c r="H24" s="35">
        <f>CAC!V7</f>
        <v>240000</v>
      </c>
      <c r="I24" s="35">
        <f>CAC!W7</f>
        <v>270000</v>
      </c>
      <c r="J24" s="35">
        <f>CAC!X7</f>
        <v>270000</v>
      </c>
      <c r="K24" s="35">
        <f>CAC!Y7</f>
        <v>270000</v>
      </c>
      <c r="L24" s="35">
        <f>CAC!Z7</f>
        <v>300000</v>
      </c>
      <c r="M24" s="35">
        <f>CAC!AA7</f>
        <v>300000</v>
      </c>
      <c r="N24" s="35">
        <f>CAC!AB7</f>
        <v>300000</v>
      </c>
      <c r="O24" s="25"/>
      <c r="P24" s="26"/>
      <c r="Q24" s="26"/>
    </row>
    <row r="25">
      <c r="B25" s="31" t="s">
        <v>118</v>
      </c>
      <c r="C25" s="35">
        <f>CAC!Q38</f>
        <v>270000</v>
      </c>
      <c r="D25" s="35">
        <f>CAC!R38</f>
        <v>270000</v>
      </c>
      <c r="E25" s="35">
        <f>CAC!S38</f>
        <v>270000</v>
      </c>
      <c r="F25" s="35">
        <f>CAC!T38</f>
        <v>325000</v>
      </c>
      <c r="G25" s="35">
        <f>CAC!U38</f>
        <v>325000</v>
      </c>
      <c r="H25" s="35">
        <f>CAC!V38</f>
        <v>325000</v>
      </c>
      <c r="I25" s="35">
        <f>CAC!W38</f>
        <v>380000</v>
      </c>
      <c r="J25" s="35">
        <f>CAC!X38</f>
        <v>380000</v>
      </c>
      <c r="K25" s="35">
        <f>CAC!Y38</f>
        <v>380000</v>
      </c>
      <c r="L25" s="35">
        <f>CAC!Z38</f>
        <v>435000</v>
      </c>
      <c r="M25" s="35">
        <f>CAC!AA38</f>
        <v>435000</v>
      </c>
      <c r="N25" s="35">
        <f>CAC!AB38</f>
        <v>435000</v>
      </c>
      <c r="O25" s="25"/>
      <c r="P25" s="26"/>
      <c r="Q25" s="26"/>
      <c r="R25" s="41"/>
    </row>
    <row r="26">
      <c r="B26" s="31" t="s">
        <v>119</v>
      </c>
      <c r="C26" s="42">
        <f>CSV!D7+count('SG&amp;A'!C20:C22)+count('SG&amp;A'!C28:C37)+count(CAC!C21:C38)+count(CAC!C44:C59)+count(CAC!C66:C71)+count(CAC!C77:C86)</f>
        <v>110</v>
      </c>
      <c r="D26" s="42">
        <f>CSV!E7+count('SG&amp;A'!D20:D22)+count('SG&amp;A'!D28:D37)+count(CAC!D21:D38)+count(CAC!D44:D59)+count(CAC!D66:D71)+count(CAC!D77:D86)</f>
        <v>118</v>
      </c>
      <c r="E26" s="42">
        <f>CSV!F7+count('SG&amp;A'!E20:E22)+count('SG&amp;A'!E28:E37)+count(CAC!E21:E38)+count(CAC!E44:E59)+count(CAC!E66:E71)+count(CAC!E77:E86)</f>
        <v>123</v>
      </c>
      <c r="F26" s="42">
        <f>CSV!G7+count('SG&amp;A'!F20:F22)+count('SG&amp;A'!F28:F37)+count(CAC!F21:F38)+count(CAC!F44:F59)+count(CAC!F66:F71)+count(CAC!F77:F86)</f>
        <v>135</v>
      </c>
      <c r="G26" s="42">
        <f>CSV!H7+count('SG&amp;A'!G20:G22)+count('SG&amp;A'!G28:G37)+count(CAC!G21:G38)+count(CAC!G44:G59)+count(CAC!G66:G71)+count(CAC!G77:G86)</f>
        <v>139</v>
      </c>
      <c r="H26" s="42">
        <f>CSV!I7+count('SG&amp;A'!H20:H22)+count('SG&amp;A'!H28:H37)+count(CAC!H21:H38)+count(CAC!H44:H59)+count(CAC!H66:H71)+count(CAC!H77:H86)</f>
        <v>141</v>
      </c>
      <c r="I26" s="42">
        <f>CSV!J7+count('SG&amp;A'!I20:I22)+count('SG&amp;A'!I28:I37)+count(CAC!I21:I38)+count(CAC!I44:I59)+count(CAC!I66:I71)+count(CAC!I77:I86)</f>
        <v>147</v>
      </c>
      <c r="J26" s="42">
        <f>CSV!K7+count('SG&amp;A'!J20:J22)+count('SG&amp;A'!J28:J37)+count(CAC!J21:J38)+count(CAC!J44:J59)+count(CAC!J66:J71)+count(CAC!J77:J86)</f>
        <v>152</v>
      </c>
      <c r="K26" s="42">
        <f>CSV!L7+count('SG&amp;A'!K20:K22)+count('SG&amp;A'!K28:K37)+count(CAC!K21:K38)+count(CAC!K44:K59)+count(CAC!K66:K71)+count(CAC!K77:K86)</f>
        <v>155</v>
      </c>
      <c r="L26" s="42">
        <f>CSV!M7+count('SG&amp;A'!L20:L22)+count('SG&amp;A'!L28:L37)+count(CAC!L21:L38)+count(CAC!L44:L59)+count(CAC!L66:L71)+count(CAC!L77:L86)</f>
        <v>162</v>
      </c>
      <c r="M26" s="42">
        <f>CSV!N7+count('SG&amp;A'!M20:M22)+count('SG&amp;A'!M28:M37)+count(CAC!M21:M38)+count(CAC!M44:M59)+count(CAC!M66:M71)+count(CAC!M77:M86)</f>
        <v>165</v>
      </c>
      <c r="N26" s="42">
        <f>CSV!O7+count('SG&amp;A'!N20:N22)+count('SG&amp;A'!N28:N37)+count(CAC!N21:N38)+count(CAC!N44:N59)+count(CAC!N66:N71)+count(CAC!N77:N86)</f>
        <v>169</v>
      </c>
      <c r="O26" s="25"/>
      <c r="P26" s="26"/>
      <c r="Q26" s="26"/>
    </row>
    <row r="27">
      <c r="B27" s="31" t="s">
        <v>120</v>
      </c>
      <c r="C27" s="35">
        <f t="shared" ref="C27:N27" si="18">C7/C26</f>
        <v>12887.42424</v>
      </c>
      <c r="D27" s="35">
        <f t="shared" si="18"/>
        <v>13628.3178</v>
      </c>
      <c r="E27" s="35">
        <f t="shared" si="18"/>
        <v>13530.60286</v>
      </c>
      <c r="F27" s="35">
        <f t="shared" si="18"/>
        <v>13458.29712</v>
      </c>
      <c r="G27" s="35">
        <f t="shared" si="18"/>
        <v>14305.98586</v>
      </c>
      <c r="H27" s="35">
        <f t="shared" si="18"/>
        <v>14626.19044</v>
      </c>
      <c r="I27" s="35">
        <f t="shared" si="18"/>
        <v>15207.14509</v>
      </c>
      <c r="J27" s="35">
        <f t="shared" si="18"/>
        <v>15864.04429</v>
      </c>
      <c r="K27" s="35">
        <f t="shared" si="18"/>
        <v>15940.29337</v>
      </c>
      <c r="L27" s="35">
        <f t="shared" si="18"/>
        <v>16456.70317</v>
      </c>
      <c r="M27" s="35">
        <f t="shared" si="18"/>
        <v>17167.03706</v>
      </c>
      <c r="N27" s="35">
        <f t="shared" si="18"/>
        <v>17215.35235</v>
      </c>
      <c r="O27" s="25"/>
      <c r="P27" s="26"/>
      <c r="Q27" s="26"/>
    </row>
    <row r="28">
      <c r="B28" s="31" t="s">
        <v>121</v>
      </c>
      <c r="C28" s="35">
        <f t="shared" ref="C28:N28" si="19">C4/C26</f>
        <v>10516.81818</v>
      </c>
      <c r="D28" s="35">
        <f t="shared" si="19"/>
        <v>10743.50424</v>
      </c>
      <c r="E28" s="35">
        <f t="shared" si="19"/>
        <v>11127.13402</v>
      </c>
      <c r="F28" s="35">
        <f t="shared" si="19"/>
        <v>11003.40823</v>
      </c>
      <c r="G28" s="35">
        <f t="shared" si="19"/>
        <v>11451.57339</v>
      </c>
      <c r="H28" s="35">
        <f t="shared" si="19"/>
        <v>11975.24481</v>
      </c>
      <c r="I28" s="35">
        <f t="shared" si="19"/>
        <v>12289.41266</v>
      </c>
      <c r="J28" s="35">
        <f t="shared" si="19"/>
        <v>12591.80745</v>
      </c>
      <c r="K28" s="35">
        <f t="shared" si="19"/>
        <v>12978.70198</v>
      </c>
      <c r="L28" s="35">
        <f t="shared" si="19"/>
        <v>13152.13527</v>
      </c>
      <c r="M28" s="35">
        <f t="shared" si="19"/>
        <v>13569.01686</v>
      </c>
      <c r="N28" s="35">
        <f t="shared" si="19"/>
        <v>13830.69752</v>
      </c>
      <c r="O28" s="25"/>
      <c r="P28" s="26"/>
      <c r="Q28" s="26"/>
    </row>
    <row r="29">
      <c r="B29" s="31" t="s">
        <v>122</v>
      </c>
      <c r="C29" s="44">
        <f t="shared" ref="C29:J29" si="20">C30/1.38</f>
        <v>300.6697723</v>
      </c>
      <c r="D29" s="44">
        <f t="shared" si="20"/>
        <v>330.2517018</v>
      </c>
      <c r="E29" s="44">
        <f t="shared" si="20"/>
        <v>352.0054142</v>
      </c>
      <c r="F29" s="44">
        <f t="shared" si="20"/>
        <v>377.7829102</v>
      </c>
      <c r="G29" s="44">
        <f t="shared" si="20"/>
        <v>402.4349196</v>
      </c>
      <c r="H29" s="44">
        <f t="shared" si="20"/>
        <v>423.7874974</v>
      </c>
      <c r="I29" s="44">
        <f t="shared" si="20"/>
        <v>449.2234069</v>
      </c>
      <c r="J29" s="44">
        <f t="shared" si="20"/>
        <v>474.6896009</v>
      </c>
      <c r="K29" s="44">
        <f>K30/1.37</f>
        <v>500.4240891</v>
      </c>
      <c r="L29" s="44">
        <f t="shared" ref="L29:N29" si="21">L30/1.4</f>
        <v>515.4621199</v>
      </c>
      <c r="M29" s="44">
        <f t="shared" si="21"/>
        <v>541.1927598</v>
      </c>
      <c r="N29" s="44">
        <f t="shared" si="21"/>
        <v>563.5656588</v>
      </c>
      <c r="O29" s="25"/>
      <c r="P29" s="26"/>
      <c r="Q29" s="26"/>
    </row>
    <row r="30">
      <c r="B30" s="31" t="s">
        <v>123</v>
      </c>
      <c r="C30" s="45">
        <f>CSV!C12+CSV!C85+CSV!C141+CSV!C202+CSV!C225+CAC!Q42+CAC!Q47+CAC!Q52+CAC!Q57+CAC!Q62+CAC!Q67</f>
        <v>414.9242857</v>
      </c>
      <c r="D30" s="45">
        <f>CSV!D12+CSV!D85+CSV!D141+CSV!D202+CSV!D225+CAC!R42+CAC!R47+CAC!R52+CAC!R57+CAC!R62+CAC!R67</f>
        <v>455.7473485</v>
      </c>
      <c r="E30" s="45">
        <f>CSV!E12+CSV!E85+CSV!E141+CSV!E202+CSV!E225+CAC!S42+CAC!S47+CAC!S52+CAC!S57+CAC!S62+CAC!S67</f>
        <v>485.7674716</v>
      </c>
      <c r="F30" s="45">
        <f>CSV!F12+CSV!F85+CSV!F141+CSV!F202+CSV!F225+CAC!T42+CAC!T47+CAC!T52+CAC!T57+CAC!T62+CAC!T67</f>
        <v>521.340416</v>
      </c>
      <c r="G30" s="45">
        <f>CSV!G12+CSV!G85+CSV!G141+CSV!G202+CSV!G225+CAC!U42+CAC!U47+CAC!U52+CAC!U57+CAC!U62+CAC!U67</f>
        <v>555.360189</v>
      </c>
      <c r="H30" s="45">
        <f>CSV!H12+CSV!H85+CSV!H141+CSV!H202+CSV!H225+CAC!V42+CAC!V47+CAC!V52+CAC!V57+CAC!V62+CAC!V67</f>
        <v>584.8267464</v>
      </c>
      <c r="I30" s="45">
        <f>CSV!I12+CSV!I85+CSV!I141+CSV!I202+CSV!I225+CAC!W42+CAC!W47+CAC!W52+CAC!W57+CAC!W62+CAC!W67</f>
        <v>619.9283016</v>
      </c>
      <c r="J30" s="45">
        <f>CSV!J12+CSV!J85+CSV!J141+CSV!J202+CSV!J225+CAC!X42+CAC!X47+CAC!X52+CAC!X57+CAC!X62+CAC!X67</f>
        <v>655.0716493</v>
      </c>
      <c r="K30" s="45">
        <f>CSV!K12+CSV!K85+CSV!K141+CSV!K202+CSV!K225+CAC!Y42+CAC!Y47+CAC!Y52+CAC!Y57+CAC!Y62+CAC!Y67</f>
        <v>685.5810021</v>
      </c>
      <c r="L30" s="45">
        <f>CSV!L12+CSV!L85+CSV!L141+CSV!L202+CSV!L225+CAC!Z42+CAC!Z47+CAC!Z52+CAC!Z57+CAC!Z62+CAC!Z67</f>
        <v>721.6469678</v>
      </c>
      <c r="M30" s="45">
        <f>CSV!M12+CSV!M85+CSV!M141+CSV!M202+CSV!M225+CAC!AA42+CAC!AA47+CAC!AA52+CAC!AA57+CAC!AA62+CAC!AA67</f>
        <v>757.6698637</v>
      </c>
      <c r="N30" s="45">
        <f>CSV!N12+CSV!N85+CSV!N141+CSV!N202+CSV!N225+CAC!AB42+CAC!AB47+CAC!AB52+CAC!AB57+CAC!AB62+CAC!AB67</f>
        <v>788.9919223</v>
      </c>
      <c r="O30" s="25"/>
      <c r="P30" s="26"/>
      <c r="Q30" s="26"/>
    </row>
    <row r="31">
      <c r="B31" s="31" t="s">
        <v>124</v>
      </c>
      <c r="C31" s="35">
        <f t="shared" ref="C31:N31" si="22">C7/C29</f>
        <v>4714.862608</v>
      </c>
      <c r="D31" s="35">
        <f t="shared" si="22"/>
        <v>4869.441978</v>
      </c>
      <c r="E31" s="35">
        <f t="shared" si="22"/>
        <v>4727.950436</v>
      </c>
      <c r="F31" s="35">
        <f t="shared" si="22"/>
        <v>4809.296721</v>
      </c>
      <c r="G31" s="35">
        <f t="shared" si="22"/>
        <v>4941.251213</v>
      </c>
      <c r="H31" s="35">
        <f t="shared" si="22"/>
        <v>4866.337172</v>
      </c>
      <c r="I31" s="35">
        <f t="shared" si="22"/>
        <v>4976.25523</v>
      </c>
      <c r="J31" s="35">
        <f t="shared" si="22"/>
        <v>5079.813687</v>
      </c>
      <c r="K31" s="35">
        <f t="shared" si="22"/>
        <v>4937.303233</v>
      </c>
      <c r="L31" s="35">
        <f t="shared" si="22"/>
        <v>5172.03071</v>
      </c>
      <c r="M31" s="35">
        <f t="shared" si="22"/>
        <v>5233.922781</v>
      </c>
      <c r="N31" s="35">
        <f t="shared" si="22"/>
        <v>5162.476638</v>
      </c>
      <c r="O31" s="25"/>
      <c r="P31" s="26"/>
      <c r="Q31" s="26"/>
    </row>
    <row r="32">
      <c r="B32" s="31" t="s">
        <v>125</v>
      </c>
      <c r="C32" s="35">
        <f t="shared" ref="C32:N32" si="23">C7/C30</f>
        <v>3416.567107</v>
      </c>
      <c r="D32" s="35">
        <f t="shared" si="23"/>
        <v>3528.581143</v>
      </c>
      <c r="E32" s="35">
        <f t="shared" si="23"/>
        <v>3426.051041</v>
      </c>
      <c r="F32" s="35">
        <f t="shared" si="23"/>
        <v>3484.997624</v>
      </c>
      <c r="G32" s="35">
        <f t="shared" si="23"/>
        <v>3580.616821</v>
      </c>
      <c r="H32" s="35">
        <f t="shared" si="23"/>
        <v>3526.331284</v>
      </c>
      <c r="I32" s="35">
        <f t="shared" si="23"/>
        <v>3605.982051</v>
      </c>
      <c r="J32" s="35">
        <f t="shared" si="23"/>
        <v>3681.024411</v>
      </c>
      <c r="K32" s="35">
        <f t="shared" si="23"/>
        <v>3603.870973</v>
      </c>
      <c r="L32" s="35">
        <f t="shared" si="23"/>
        <v>3694.30765</v>
      </c>
      <c r="M32" s="35">
        <f t="shared" si="23"/>
        <v>3738.516272</v>
      </c>
      <c r="N32" s="35">
        <f t="shared" si="23"/>
        <v>3687.483313</v>
      </c>
      <c r="O32" s="25"/>
      <c r="P32" s="26"/>
      <c r="Q32" s="26"/>
    </row>
    <row r="33">
      <c r="B33" s="31" t="s">
        <v>126</v>
      </c>
      <c r="C33" s="35">
        <f>Revenue!D32</f>
        <v>104116.5</v>
      </c>
      <c r="D33" s="35">
        <f>Revenue!E32</f>
        <v>114096.015</v>
      </c>
      <c r="E33" s="35">
        <f>Revenue!F32</f>
        <v>123177.3737</v>
      </c>
      <c r="F33" s="35">
        <f>Revenue!G32</f>
        <v>133691.41</v>
      </c>
      <c r="G33" s="35">
        <f>Revenue!H32</f>
        <v>143259.1831</v>
      </c>
      <c r="H33" s="35">
        <f>Revenue!I32</f>
        <v>151965.8566</v>
      </c>
      <c r="I33" s="35">
        <f>Revenue!J32</f>
        <v>162588.9295</v>
      </c>
      <c r="J33" s="35">
        <f>Revenue!K32</f>
        <v>172255.9259</v>
      </c>
      <c r="K33" s="35">
        <f>Revenue!L32</f>
        <v>181052.8926</v>
      </c>
      <c r="L33" s="35">
        <f>Revenue!M32</f>
        <v>191758.1322</v>
      </c>
      <c r="M33" s="35">
        <f>Revenue!N32</f>
        <v>201499.9003</v>
      </c>
      <c r="N33" s="35">
        <f>Revenue!O32</f>
        <v>210364.9093</v>
      </c>
      <c r="O33" s="25"/>
      <c r="P33" s="26"/>
      <c r="Q33" s="26"/>
    </row>
    <row r="34">
      <c r="B34" s="31" t="s">
        <v>127</v>
      </c>
      <c r="C34" s="40">
        <f t="shared" ref="C34:O34" si="24">(C16+C9)/C7</f>
        <v>0.1641211846</v>
      </c>
      <c r="D34" s="40">
        <f t="shared" si="24"/>
        <v>0.1785420553</v>
      </c>
      <c r="E34" s="40">
        <f t="shared" si="24"/>
        <v>0.1756893733</v>
      </c>
      <c r="F34" s="40">
        <f t="shared" si="24"/>
        <v>0.1765546308</v>
      </c>
      <c r="G34" s="40">
        <f t="shared" si="24"/>
        <v>0.1750808307</v>
      </c>
      <c r="H34" s="40">
        <f t="shared" si="24"/>
        <v>0.1901899344</v>
      </c>
      <c r="I34" s="40">
        <f t="shared" si="24"/>
        <v>0.1788088314</v>
      </c>
      <c r="J34" s="40">
        <f t="shared" si="24"/>
        <v>0.2030320655</v>
      </c>
      <c r="K34" s="40">
        <f t="shared" si="24"/>
        <v>0.2032033268</v>
      </c>
      <c r="L34" s="40">
        <f t="shared" si="24"/>
        <v>0.2022532211</v>
      </c>
      <c r="M34" s="40">
        <f t="shared" si="24"/>
        <v>0.2111602019</v>
      </c>
      <c r="N34" s="40">
        <f t="shared" si="24"/>
        <v>0.2074284143</v>
      </c>
      <c r="O34" s="40">
        <f t="shared" si="24"/>
        <v>0.1919057144</v>
      </c>
      <c r="P34" s="26"/>
      <c r="Q34" s="26"/>
    </row>
    <row r="35">
      <c r="B35" s="31" t="s">
        <v>128</v>
      </c>
      <c r="C35" s="35">
        <f t="shared" ref="C35:N35" si="25">C18</f>
        <v>158202.6306</v>
      </c>
      <c r="D35" s="35">
        <f t="shared" si="25"/>
        <v>230892.1079</v>
      </c>
      <c r="E35" s="35">
        <f t="shared" si="25"/>
        <v>231398.5306</v>
      </c>
      <c r="F35" s="35">
        <f t="shared" si="25"/>
        <v>256868.3404</v>
      </c>
      <c r="G35" s="35">
        <f t="shared" si="25"/>
        <v>280254.8559</v>
      </c>
      <c r="H35" s="35">
        <f t="shared" si="25"/>
        <v>353023.0798</v>
      </c>
      <c r="I35" s="35">
        <f t="shared" si="25"/>
        <v>337547.9356</v>
      </c>
      <c r="J35" s="35">
        <f t="shared" si="25"/>
        <v>481493.0292</v>
      </c>
      <c r="K35" s="35">
        <f t="shared" si="25"/>
        <v>495430.7724</v>
      </c>
      <c r="L35" s="35">
        <f t="shared" si="25"/>
        <v>533682.7557</v>
      </c>
      <c r="M35" s="35">
        <f t="shared" si="25"/>
        <v>619181.433</v>
      </c>
      <c r="N35" s="35">
        <f t="shared" si="25"/>
        <v>616280.7231</v>
      </c>
      <c r="O35" s="25"/>
      <c r="P35" s="26"/>
      <c r="Q35" s="26"/>
    </row>
    <row r="36">
      <c r="B36" s="31" t="s">
        <v>129</v>
      </c>
      <c r="C36" s="40">
        <f t="shared" ref="C36:N36" si="26">C19</f>
        <v>0.1115976091</v>
      </c>
      <c r="D36" s="40">
        <f t="shared" si="26"/>
        <v>0.1435769849</v>
      </c>
      <c r="E36" s="40">
        <f t="shared" si="26"/>
        <v>0.1390395451</v>
      </c>
      <c r="F36" s="40">
        <f t="shared" si="26"/>
        <v>0.1413795839</v>
      </c>
      <c r="G36" s="40">
        <f t="shared" si="26"/>
        <v>0.14093555</v>
      </c>
      <c r="H36" s="40">
        <f t="shared" si="26"/>
        <v>0.1711798979</v>
      </c>
      <c r="I36" s="40">
        <f t="shared" si="26"/>
        <v>0.1509977347</v>
      </c>
      <c r="J36" s="40">
        <f t="shared" si="26"/>
        <v>0.1996790503</v>
      </c>
      <c r="K36" s="40">
        <f t="shared" si="26"/>
        <v>0.2005187413</v>
      </c>
      <c r="L36" s="40">
        <f t="shared" si="26"/>
        <v>0.2001821364</v>
      </c>
      <c r="M36" s="40">
        <f t="shared" si="26"/>
        <v>0.2185942008</v>
      </c>
      <c r="N36" s="40">
        <f t="shared" si="26"/>
        <v>0.2118243892</v>
      </c>
      <c r="O36" s="40">
        <f>P18</f>
        <v>0.1761385895</v>
      </c>
      <c r="P36" s="32"/>
      <c r="Q36" s="26"/>
    </row>
    <row r="37">
      <c r="B37" s="31" t="s">
        <v>130</v>
      </c>
      <c r="C37" s="35">
        <f>535000+C35</f>
        <v>693202.6306</v>
      </c>
      <c r="D37" s="35">
        <f t="shared" ref="D37:N37" si="27">C37+D35</f>
        <v>924094.7384</v>
      </c>
      <c r="E37" s="35">
        <f t="shared" si="27"/>
        <v>1155493.269</v>
      </c>
      <c r="F37" s="35">
        <f t="shared" si="27"/>
        <v>1412361.609</v>
      </c>
      <c r="G37" s="35">
        <f t="shared" si="27"/>
        <v>1692616.465</v>
      </c>
      <c r="H37" s="35">
        <f t="shared" si="27"/>
        <v>2045639.545</v>
      </c>
      <c r="I37" s="35">
        <f t="shared" si="27"/>
        <v>2383187.481</v>
      </c>
      <c r="J37" s="35">
        <f t="shared" si="27"/>
        <v>2864680.51</v>
      </c>
      <c r="K37" s="35">
        <f t="shared" si="27"/>
        <v>3360111.282</v>
      </c>
      <c r="L37" s="35">
        <f t="shared" si="27"/>
        <v>3893794.038</v>
      </c>
      <c r="M37" s="35">
        <f t="shared" si="27"/>
        <v>4512975.471</v>
      </c>
      <c r="N37" s="35">
        <f t="shared" si="27"/>
        <v>5129256.194</v>
      </c>
      <c r="O37" s="25"/>
      <c r="P37" s="32"/>
      <c r="Q37" s="26"/>
    </row>
    <row r="38">
      <c r="O38" s="25"/>
      <c r="P38" s="26"/>
      <c r="Q38" s="26"/>
    </row>
    <row r="39">
      <c r="B39" s="31" t="s">
        <v>119</v>
      </c>
      <c r="C39" s="42">
        <f>CSV!D7+count('SG&amp;A'!C20:C22)+count('SG&amp;A'!C28:C37)+count(CAC!C21:C38)+count(CAC!C44:C59)+count(CAC!C66:C71)+count(CAC!C77:C86)</f>
        <v>110</v>
      </c>
      <c r="D39" s="42">
        <f>CSV!E7+count('SG&amp;A'!D20:D22)+count('SG&amp;A'!D28:D37)+count(CAC!D21:D38)+count(CAC!D44:D59)+count(CAC!D66:D71)+count(CAC!D77:D86)</f>
        <v>118</v>
      </c>
      <c r="E39" s="42">
        <f>CSV!F7+count('SG&amp;A'!E20:E22)+count('SG&amp;A'!E28:E37)+count(CAC!E21:E38)+count(CAC!E44:E59)+count(CAC!E66:E71)+count(CAC!E77:E86)</f>
        <v>123</v>
      </c>
      <c r="F39" s="42">
        <f>CSV!G7+count('SG&amp;A'!F20:F22)+count('SG&amp;A'!F28:F37)+count(CAC!F21:F38)+count(CAC!F44:F59)+count(CAC!F66:F71)+count(CAC!F77:F86)</f>
        <v>135</v>
      </c>
      <c r="G39" s="42">
        <f>CSV!H7+count('SG&amp;A'!G20:G22)+count('SG&amp;A'!G28:G37)+count(CAC!G21:G38)+count(CAC!G44:G59)+count(CAC!G66:G71)+count(CAC!G77:G86)</f>
        <v>139</v>
      </c>
      <c r="H39" s="42">
        <f>CSV!I7+count('SG&amp;A'!H20:H22)+count('SG&amp;A'!H28:H37)+count(CAC!H21:H38)+count(CAC!H44:H59)+count(CAC!H66:H71)+count(CAC!H77:H86)</f>
        <v>141</v>
      </c>
      <c r="I39" s="42">
        <f>CSV!J7+count('SG&amp;A'!I20:I22)+count('SG&amp;A'!I28:I37)+count(CAC!I21:I38)+count(CAC!I44:I59)+count(CAC!I66:I71)+count(CAC!I77:I86)</f>
        <v>147</v>
      </c>
      <c r="J39" s="42">
        <f>CSV!K7+count('SG&amp;A'!J20:J22)+count('SG&amp;A'!J28:J37)+count(CAC!J21:J38)+count(CAC!J44:J59)+count(CAC!J66:J71)+count(CAC!J77:J86)</f>
        <v>152</v>
      </c>
      <c r="K39" s="42">
        <f>CSV!L7+count('SG&amp;A'!K20:K22)+count('SG&amp;A'!K28:K37)+count(CAC!K21:K38)+count(CAC!K44:K59)+count(CAC!K66:K71)+count(CAC!K77:K86)</f>
        <v>155</v>
      </c>
      <c r="L39" s="42">
        <f>CSV!M7+count('SG&amp;A'!L20:L22)+count('SG&amp;A'!L28:L37)+count(CAC!L21:L38)+count(CAC!L44:L59)+count(CAC!L66:L71)+count(CAC!L77:L86)</f>
        <v>162</v>
      </c>
      <c r="M39" s="42">
        <f>CSV!N7+count('SG&amp;A'!M20:M22)+count('SG&amp;A'!M28:M37)+count(CAC!M21:M38)+count(CAC!M44:M59)+count(CAC!M66:M71)+count(CAC!M77:M86)</f>
        <v>165</v>
      </c>
      <c r="N39" s="42">
        <f>CSV!O7+count('SG&amp;A'!N20:N22)+count('SG&amp;A'!N28:N37)+count(CAC!N21:N38)+count(CAC!N44:N59)+count(CAC!N66:N71)+count(CAC!N77:N86)</f>
        <v>169</v>
      </c>
      <c r="O39" s="25"/>
      <c r="P39" s="26"/>
      <c r="Q39" s="26"/>
    </row>
    <row r="40">
      <c r="B40" s="31" t="s">
        <v>131</v>
      </c>
      <c r="C40" s="42">
        <f>CSV!D7</f>
        <v>73</v>
      </c>
      <c r="D40" s="42">
        <f>CSV!E7</f>
        <v>80</v>
      </c>
      <c r="E40" s="42">
        <f>CSV!F7</f>
        <v>83</v>
      </c>
      <c r="F40" s="42">
        <f>CSV!G7</f>
        <v>93</v>
      </c>
      <c r="G40" s="42">
        <f>CSV!H7</f>
        <v>97</v>
      </c>
      <c r="H40" s="42">
        <f>CSV!I7</f>
        <v>98</v>
      </c>
      <c r="I40" s="42">
        <f>CSV!J7</f>
        <v>104</v>
      </c>
      <c r="J40" s="42">
        <f>CSV!K7</f>
        <v>108</v>
      </c>
      <c r="K40" s="42">
        <f>CSV!L7</f>
        <v>110</v>
      </c>
      <c r="L40" s="42">
        <f>CSV!M7</f>
        <v>116</v>
      </c>
      <c r="M40" s="42">
        <f>CSV!N7</f>
        <v>119</v>
      </c>
      <c r="N40" s="42">
        <f>CSV!O7</f>
        <v>122</v>
      </c>
      <c r="O40" s="25"/>
      <c r="P40" s="26"/>
      <c r="Q40" s="26"/>
    </row>
    <row r="41">
      <c r="B41" s="31" t="s">
        <v>132</v>
      </c>
      <c r="C41" s="42">
        <f>CAC!C5</f>
        <v>24</v>
      </c>
      <c r="D41" s="42">
        <f>CAC!D5</f>
        <v>25</v>
      </c>
      <c r="E41" s="42">
        <f>CAC!E5</f>
        <v>27</v>
      </c>
      <c r="F41" s="42">
        <f>CAC!F5</f>
        <v>30</v>
      </c>
      <c r="G41" s="42">
        <f>CAC!G5</f>
        <v>30</v>
      </c>
      <c r="H41" s="42">
        <f>CAC!H5</f>
        <v>30</v>
      </c>
      <c r="I41" s="42">
        <f>CAC!I5</f>
        <v>30</v>
      </c>
      <c r="J41" s="42">
        <f>CAC!J5</f>
        <v>31</v>
      </c>
      <c r="K41" s="42">
        <f>CAC!K5</f>
        <v>32</v>
      </c>
      <c r="L41" s="42">
        <f>CAC!L5</f>
        <v>33</v>
      </c>
      <c r="M41" s="42">
        <f>CAC!M5</f>
        <v>33</v>
      </c>
      <c r="N41" s="42">
        <f>CAC!N5</f>
        <v>34</v>
      </c>
      <c r="O41" s="25"/>
      <c r="P41" s="26"/>
      <c r="Q41" s="26"/>
    </row>
    <row r="42">
      <c r="B42" s="31" t="s">
        <v>133</v>
      </c>
      <c r="C42" s="42">
        <f>'SG&amp;A'!C5</f>
        <v>12</v>
      </c>
      <c r="D42" s="42">
        <f>'SG&amp;A'!D5</f>
        <v>12</v>
      </c>
      <c r="E42" s="42">
        <f>'SG&amp;A'!E5</f>
        <v>12</v>
      </c>
      <c r="F42" s="42">
        <f>'SG&amp;A'!F5</f>
        <v>11</v>
      </c>
      <c r="G42" s="42">
        <f>'SG&amp;A'!G5</f>
        <v>11</v>
      </c>
      <c r="H42" s="42">
        <f>'SG&amp;A'!H5</f>
        <v>12</v>
      </c>
      <c r="I42" s="42">
        <f>'SG&amp;A'!I5</f>
        <v>12</v>
      </c>
      <c r="J42" s="42">
        <f>'SG&amp;A'!J5</f>
        <v>12</v>
      </c>
      <c r="K42" s="42">
        <f>'SG&amp;A'!K5</f>
        <v>12</v>
      </c>
      <c r="L42" s="42">
        <f>'SG&amp;A'!L5</f>
        <v>12</v>
      </c>
      <c r="M42" s="42">
        <f>'SG&amp;A'!M5</f>
        <v>12</v>
      </c>
      <c r="N42" s="42">
        <f>'SG&amp;A'!N5</f>
        <v>12</v>
      </c>
      <c r="O42" s="25"/>
      <c r="P42" s="26"/>
      <c r="Q42" s="26"/>
    </row>
    <row r="44">
      <c r="O44" s="25"/>
      <c r="P44" s="26"/>
      <c r="Q44" s="26"/>
    </row>
    <row r="45">
      <c r="B45" s="12" t="s">
        <v>116</v>
      </c>
      <c r="C45" s="35">
        <f t="shared" ref="C45:N45" si="28">C23</f>
        <v>1174357.036</v>
      </c>
      <c r="D45" s="35">
        <f t="shared" si="28"/>
        <v>1280760.902</v>
      </c>
      <c r="E45" s="35">
        <f t="shared" si="28"/>
        <v>1333009.772</v>
      </c>
      <c r="F45" s="35">
        <f t="shared" si="28"/>
        <v>1450989.564</v>
      </c>
      <c r="G45" s="35">
        <f t="shared" si="28"/>
        <v>1588965.257</v>
      </c>
      <c r="H45" s="35">
        <f t="shared" si="28"/>
        <v>1585532.201</v>
      </c>
      <c r="I45" s="35">
        <f t="shared" si="28"/>
        <v>1763775.373</v>
      </c>
      <c r="J45" s="35">
        <f t="shared" si="28"/>
        <v>1785161.619</v>
      </c>
      <c r="K45" s="35">
        <f t="shared" si="28"/>
        <v>1827069.972</v>
      </c>
      <c r="L45" s="35">
        <f t="shared" si="28"/>
        <v>1972344.003</v>
      </c>
      <c r="M45" s="35">
        <f t="shared" si="28"/>
        <v>2043426.015</v>
      </c>
      <c r="N45" s="35">
        <f t="shared" si="28"/>
        <v>2118550.152</v>
      </c>
      <c r="O45" s="25"/>
      <c r="P45" s="26"/>
      <c r="Q45" s="26"/>
    </row>
    <row r="46">
      <c r="B46" s="46" t="s">
        <v>130</v>
      </c>
      <c r="C46" s="35">
        <v>642014.0385544728</v>
      </c>
      <c r="D46" s="35">
        <f t="shared" ref="D46:N46" si="29">C46+D35</f>
        <v>872906.1464</v>
      </c>
      <c r="E46" s="35">
        <f t="shared" si="29"/>
        <v>1104304.677</v>
      </c>
      <c r="F46" s="35">
        <f t="shared" si="29"/>
        <v>1361173.017</v>
      </c>
      <c r="G46" s="35">
        <f t="shared" si="29"/>
        <v>1641427.873</v>
      </c>
      <c r="H46" s="35">
        <f t="shared" si="29"/>
        <v>1994450.953</v>
      </c>
      <c r="I46" s="35">
        <f t="shared" si="29"/>
        <v>2331998.889</v>
      </c>
      <c r="J46" s="35">
        <f t="shared" si="29"/>
        <v>2813491.918</v>
      </c>
      <c r="K46" s="35">
        <f t="shared" si="29"/>
        <v>3308922.69</v>
      </c>
      <c r="L46" s="35">
        <f t="shared" si="29"/>
        <v>3842605.446</v>
      </c>
      <c r="M46" s="35">
        <f t="shared" si="29"/>
        <v>4461786.879</v>
      </c>
      <c r="N46" s="35">
        <f t="shared" si="29"/>
        <v>5078067.602</v>
      </c>
      <c r="O46" s="25"/>
      <c r="P46" s="26"/>
      <c r="Q46" s="26"/>
    </row>
    <row r="47">
      <c r="B47" s="12" t="s">
        <v>134</v>
      </c>
      <c r="C47" s="35">
        <f t="shared" ref="C47:N47" si="30">C46-C45</f>
        <v>-532342.9976</v>
      </c>
      <c r="D47" s="35">
        <f t="shared" si="30"/>
        <v>-407854.7557</v>
      </c>
      <c r="E47" s="35">
        <f t="shared" si="30"/>
        <v>-228705.0949</v>
      </c>
      <c r="F47" s="35">
        <f t="shared" si="30"/>
        <v>-89816.54683</v>
      </c>
      <c r="G47" s="35">
        <f t="shared" si="30"/>
        <v>52462.61668</v>
      </c>
      <c r="H47" s="35">
        <f t="shared" si="30"/>
        <v>408918.7525</v>
      </c>
      <c r="I47" s="35">
        <f t="shared" si="30"/>
        <v>568223.5159</v>
      </c>
      <c r="J47" s="35">
        <f t="shared" si="30"/>
        <v>1028330.299</v>
      </c>
      <c r="K47" s="35">
        <f t="shared" si="30"/>
        <v>1481852.718</v>
      </c>
      <c r="L47" s="35">
        <f t="shared" si="30"/>
        <v>1870261.443</v>
      </c>
      <c r="M47" s="35">
        <f t="shared" si="30"/>
        <v>2418360.864</v>
      </c>
      <c r="N47" s="35">
        <f t="shared" si="30"/>
        <v>2959517.451</v>
      </c>
      <c r="O47" s="25"/>
      <c r="P47" s="26"/>
      <c r="Q47" s="26"/>
    </row>
    <row r="48">
      <c r="B48" s="12" t="s">
        <v>135</v>
      </c>
      <c r="C48" s="35">
        <f t="shared" ref="C48:N48" si="31">C46-(C45*1.5)</f>
        <v>-1119521.516</v>
      </c>
      <c r="D48" s="35">
        <f t="shared" si="31"/>
        <v>-1048235.207</v>
      </c>
      <c r="E48" s="35">
        <f t="shared" si="31"/>
        <v>-895209.9809</v>
      </c>
      <c r="F48" s="35">
        <f t="shared" si="31"/>
        <v>-815311.329</v>
      </c>
      <c r="G48" s="35">
        <f t="shared" si="31"/>
        <v>-742020.0117</v>
      </c>
      <c r="H48" s="35">
        <f t="shared" si="31"/>
        <v>-383847.3478</v>
      </c>
      <c r="I48" s="35">
        <f t="shared" si="31"/>
        <v>-313664.1706</v>
      </c>
      <c r="J48" s="35">
        <f t="shared" si="31"/>
        <v>135749.4896</v>
      </c>
      <c r="K48" s="35">
        <f t="shared" si="31"/>
        <v>568317.7322</v>
      </c>
      <c r="L48" s="35">
        <f t="shared" si="31"/>
        <v>884089.4415</v>
      </c>
      <c r="M48" s="35">
        <f t="shared" si="31"/>
        <v>1396647.857</v>
      </c>
      <c r="N48" s="35">
        <f t="shared" si="31"/>
        <v>1900242.375</v>
      </c>
      <c r="O48" s="25"/>
      <c r="P48" s="26"/>
      <c r="Q48" s="26"/>
    </row>
    <row r="49">
      <c r="B49" s="12" t="s">
        <v>136</v>
      </c>
      <c r="C49" s="35">
        <f t="shared" ref="C49:N49" si="32">C46-(C45*2)</f>
        <v>-1706700.034</v>
      </c>
      <c r="D49" s="35">
        <f t="shared" si="32"/>
        <v>-1688615.658</v>
      </c>
      <c r="E49" s="35">
        <f t="shared" si="32"/>
        <v>-1561714.867</v>
      </c>
      <c r="F49" s="35">
        <f t="shared" si="32"/>
        <v>-1540806.111</v>
      </c>
      <c r="G49" s="35">
        <f t="shared" si="32"/>
        <v>-1536502.64</v>
      </c>
      <c r="H49" s="35">
        <f t="shared" si="32"/>
        <v>-1176613.448</v>
      </c>
      <c r="I49" s="35">
        <f t="shared" si="32"/>
        <v>-1195551.857</v>
      </c>
      <c r="J49" s="35">
        <f t="shared" si="32"/>
        <v>-756831.3199</v>
      </c>
      <c r="K49" s="35">
        <f t="shared" si="32"/>
        <v>-345217.2538</v>
      </c>
      <c r="L49" s="35">
        <f t="shared" si="32"/>
        <v>-102082.5601</v>
      </c>
      <c r="M49" s="35">
        <f t="shared" si="32"/>
        <v>374934.8496</v>
      </c>
      <c r="N49" s="35">
        <f t="shared" si="32"/>
        <v>840967.2988</v>
      </c>
      <c r="O49" s="25"/>
      <c r="P49" s="26"/>
      <c r="Q49" s="26"/>
    </row>
    <row r="50">
      <c r="B50" s="12" t="s">
        <v>137</v>
      </c>
      <c r="C50" s="35">
        <f t="shared" ref="C50:N50" si="33">C46-(C45*3)</f>
        <v>-2881057.07</v>
      </c>
      <c r="D50" s="35">
        <f t="shared" si="33"/>
        <v>-2969376.56</v>
      </c>
      <c r="E50" s="35">
        <f t="shared" si="33"/>
        <v>-2894724.639</v>
      </c>
      <c r="F50" s="35">
        <f t="shared" si="33"/>
        <v>-2991795.675</v>
      </c>
      <c r="G50" s="35">
        <f t="shared" si="33"/>
        <v>-3125467.897</v>
      </c>
      <c r="H50" s="35">
        <f t="shared" si="33"/>
        <v>-2762145.649</v>
      </c>
      <c r="I50" s="35">
        <f t="shared" si="33"/>
        <v>-2959327.23</v>
      </c>
      <c r="J50" s="35">
        <f t="shared" si="33"/>
        <v>-2541992.939</v>
      </c>
      <c r="K50" s="35">
        <f t="shared" si="33"/>
        <v>-2172287.226</v>
      </c>
      <c r="L50" s="35">
        <f t="shared" si="33"/>
        <v>-2074426.563</v>
      </c>
      <c r="M50" s="35">
        <f t="shared" si="33"/>
        <v>-1668491.165</v>
      </c>
      <c r="N50" s="35">
        <f t="shared" si="33"/>
        <v>-1277582.853</v>
      </c>
      <c r="O50" s="25"/>
      <c r="P50" s="26"/>
      <c r="Q50" s="26"/>
    </row>
    <row r="51">
      <c r="B51" s="12" t="s">
        <v>138</v>
      </c>
      <c r="C51" s="47">
        <f t="shared" ref="C51:N51" si="34">C46/C45</f>
        <v>0.5466940792</v>
      </c>
      <c r="D51" s="47">
        <f t="shared" si="34"/>
        <v>0.6815527746</v>
      </c>
      <c r="E51" s="47">
        <f t="shared" si="34"/>
        <v>0.8284295436</v>
      </c>
      <c r="F51" s="47">
        <f t="shared" si="34"/>
        <v>0.9380997982</v>
      </c>
      <c r="G51" s="47">
        <f t="shared" si="34"/>
        <v>1.033016843</v>
      </c>
      <c r="H51" s="47">
        <f t="shared" si="34"/>
        <v>1.257906306</v>
      </c>
      <c r="I51" s="47">
        <f t="shared" si="34"/>
        <v>1.322163199</v>
      </c>
      <c r="J51" s="47">
        <f t="shared" si="34"/>
        <v>1.576043249</v>
      </c>
      <c r="K51" s="47">
        <f t="shared" si="34"/>
        <v>1.811054169</v>
      </c>
      <c r="L51" s="47">
        <f t="shared" si="34"/>
        <v>1.948243025</v>
      </c>
      <c r="M51" s="47">
        <f t="shared" si="34"/>
        <v>2.183483447</v>
      </c>
      <c r="N51" s="47">
        <f t="shared" si="34"/>
        <v>2.396954161</v>
      </c>
      <c r="O51" s="25"/>
      <c r="P51" s="26"/>
      <c r="Q51" s="26"/>
    </row>
    <row r="52">
      <c r="O52" s="25"/>
      <c r="P52" s="26"/>
      <c r="Q52" s="26"/>
    </row>
    <row r="53">
      <c r="O53" s="25"/>
      <c r="P53" s="26"/>
      <c r="Q53" s="26"/>
    </row>
    <row r="54">
      <c r="O54" s="25"/>
      <c r="P54" s="26"/>
      <c r="Q54" s="26"/>
    </row>
    <row r="55">
      <c r="O55" s="25"/>
      <c r="P55" s="26"/>
      <c r="Q55" s="26"/>
    </row>
    <row r="56">
      <c r="O56" s="25"/>
      <c r="P56" s="26"/>
      <c r="Q56" s="26"/>
    </row>
    <row r="57">
      <c r="O57" s="25"/>
      <c r="P57" s="26"/>
      <c r="Q57" s="26"/>
    </row>
    <row r="58">
      <c r="O58" s="25"/>
      <c r="P58" s="26"/>
      <c r="Q58" s="26"/>
    </row>
    <row r="59">
      <c r="O59" s="25"/>
      <c r="P59" s="26"/>
      <c r="Q59" s="26"/>
    </row>
    <row r="60">
      <c r="O60" s="25"/>
      <c r="P60" s="26"/>
      <c r="Q60" s="26"/>
    </row>
    <row r="61">
      <c r="O61" s="25"/>
      <c r="P61" s="26"/>
      <c r="Q61" s="26"/>
    </row>
    <row r="62">
      <c r="O62" s="25"/>
      <c r="P62" s="26"/>
      <c r="Q62" s="26"/>
    </row>
    <row r="63">
      <c r="O63" s="25"/>
      <c r="P63" s="26"/>
      <c r="Q63" s="26"/>
    </row>
    <row r="64">
      <c r="O64" s="25"/>
      <c r="P64" s="26"/>
      <c r="Q64" s="26"/>
    </row>
    <row r="65">
      <c r="O65" s="25"/>
      <c r="P65" s="26"/>
      <c r="Q65" s="26"/>
    </row>
    <row r="66">
      <c r="O66" s="25"/>
      <c r="P66" s="26"/>
      <c r="Q66" s="26"/>
    </row>
    <row r="67">
      <c r="O67" s="25"/>
      <c r="P67" s="26"/>
      <c r="Q67" s="26"/>
    </row>
    <row r="68">
      <c r="O68" s="25"/>
      <c r="P68" s="26"/>
      <c r="Q68" s="26"/>
    </row>
    <row r="69">
      <c r="O69" s="25"/>
      <c r="P69" s="26"/>
      <c r="Q69" s="26"/>
    </row>
    <row r="70">
      <c r="O70" s="25"/>
      <c r="P70" s="26"/>
      <c r="Q70" s="26"/>
    </row>
    <row r="71">
      <c r="O71" s="25"/>
      <c r="P71" s="26"/>
      <c r="Q71" s="26"/>
    </row>
    <row r="72">
      <c r="O72" s="25"/>
      <c r="P72" s="26"/>
      <c r="Q72" s="26"/>
    </row>
    <row r="73">
      <c r="O73" s="25"/>
      <c r="P73" s="26"/>
      <c r="Q73" s="26"/>
    </row>
    <row r="74">
      <c r="O74" s="25"/>
      <c r="P74" s="26"/>
      <c r="Q74" s="26"/>
    </row>
    <row r="75">
      <c r="O75" s="25"/>
      <c r="P75" s="26"/>
      <c r="Q75" s="26"/>
    </row>
    <row r="76">
      <c r="O76" s="25"/>
      <c r="P76" s="26"/>
      <c r="Q76" s="26"/>
    </row>
    <row r="77">
      <c r="O77" s="25"/>
      <c r="P77" s="26"/>
      <c r="Q77" s="26"/>
    </row>
    <row r="78">
      <c r="O78" s="25"/>
      <c r="P78" s="26"/>
      <c r="Q78" s="26"/>
    </row>
    <row r="79">
      <c r="O79" s="25"/>
      <c r="P79" s="26"/>
      <c r="Q79" s="26"/>
    </row>
    <row r="80">
      <c r="O80" s="25"/>
      <c r="P80" s="26"/>
      <c r="Q80" s="26"/>
    </row>
    <row r="81">
      <c r="O81" s="25"/>
      <c r="P81" s="26"/>
      <c r="Q81" s="26"/>
    </row>
    <row r="82">
      <c r="O82" s="25"/>
      <c r="P82" s="26"/>
      <c r="Q82" s="26"/>
    </row>
    <row r="83">
      <c r="O83" s="25"/>
      <c r="P83" s="26"/>
      <c r="Q83" s="26"/>
    </row>
    <row r="84">
      <c r="O84" s="25"/>
      <c r="P84" s="26"/>
      <c r="Q84" s="26"/>
    </row>
    <row r="85">
      <c r="O85" s="25"/>
      <c r="P85" s="26"/>
      <c r="Q85" s="26"/>
    </row>
    <row r="86">
      <c r="O86" s="25"/>
      <c r="P86" s="26"/>
      <c r="Q86" s="26"/>
    </row>
    <row r="87">
      <c r="O87" s="25"/>
      <c r="P87" s="26"/>
      <c r="Q87" s="26"/>
    </row>
    <row r="88">
      <c r="O88" s="25"/>
      <c r="P88" s="26"/>
      <c r="Q88" s="26"/>
    </row>
    <row r="89">
      <c r="O89" s="25"/>
      <c r="P89" s="26"/>
      <c r="Q89" s="26"/>
    </row>
    <row r="90">
      <c r="O90" s="25"/>
      <c r="P90" s="26"/>
      <c r="Q90" s="26"/>
    </row>
    <row r="91">
      <c r="O91" s="25"/>
      <c r="P91" s="26"/>
      <c r="Q91" s="26"/>
    </row>
    <row r="92">
      <c r="O92" s="25"/>
      <c r="P92" s="26"/>
      <c r="Q92" s="26"/>
    </row>
    <row r="93">
      <c r="O93" s="25"/>
      <c r="P93" s="26"/>
      <c r="Q93" s="26"/>
    </row>
    <row r="94">
      <c r="O94" s="25"/>
      <c r="P94" s="26"/>
      <c r="Q94" s="26"/>
    </row>
    <row r="95">
      <c r="O95" s="25"/>
      <c r="P95" s="26"/>
      <c r="Q95" s="26"/>
    </row>
    <row r="96">
      <c r="O96" s="25"/>
      <c r="P96" s="26"/>
      <c r="Q96" s="26"/>
    </row>
    <row r="97">
      <c r="O97" s="25"/>
      <c r="P97" s="26"/>
      <c r="Q97" s="26"/>
    </row>
    <row r="98">
      <c r="O98" s="25"/>
      <c r="P98" s="26"/>
      <c r="Q98" s="26"/>
    </row>
    <row r="99">
      <c r="O99" s="25"/>
      <c r="P99" s="26"/>
      <c r="Q99" s="26"/>
    </row>
    <row r="100">
      <c r="O100" s="25"/>
      <c r="P100" s="26"/>
      <c r="Q100" s="26"/>
    </row>
    <row r="101">
      <c r="O101" s="25"/>
      <c r="P101" s="26"/>
      <c r="Q101" s="26"/>
    </row>
    <row r="102">
      <c r="O102" s="25"/>
      <c r="P102" s="26"/>
      <c r="Q102" s="26"/>
    </row>
    <row r="103">
      <c r="O103" s="25"/>
      <c r="P103" s="26"/>
      <c r="Q103" s="26"/>
    </row>
    <row r="104">
      <c r="O104" s="25"/>
      <c r="P104" s="26"/>
      <c r="Q104" s="26"/>
    </row>
    <row r="105">
      <c r="O105" s="25"/>
      <c r="P105" s="26"/>
      <c r="Q105" s="26"/>
    </row>
    <row r="106">
      <c r="O106" s="25"/>
      <c r="P106" s="26"/>
      <c r="Q106" s="26"/>
    </row>
    <row r="107">
      <c r="O107" s="25"/>
      <c r="P107" s="26"/>
      <c r="Q107" s="26"/>
    </row>
    <row r="108">
      <c r="O108" s="25"/>
      <c r="P108" s="26"/>
      <c r="Q108" s="26"/>
    </row>
    <row r="109">
      <c r="O109" s="25"/>
      <c r="P109" s="26"/>
      <c r="Q109" s="26"/>
    </row>
    <row r="110">
      <c r="O110" s="25"/>
      <c r="P110" s="26"/>
      <c r="Q110" s="26"/>
    </row>
    <row r="111">
      <c r="O111" s="25"/>
      <c r="P111" s="26"/>
      <c r="Q111" s="26"/>
    </row>
    <row r="112">
      <c r="O112" s="25"/>
      <c r="P112" s="26"/>
      <c r="Q112" s="26"/>
    </row>
    <row r="113">
      <c r="O113" s="25"/>
      <c r="P113" s="26"/>
      <c r="Q113" s="26"/>
    </row>
    <row r="114">
      <c r="O114" s="25"/>
      <c r="P114" s="26"/>
      <c r="Q114" s="26"/>
    </row>
    <row r="115">
      <c r="O115" s="25"/>
      <c r="P115" s="26"/>
      <c r="Q115" s="26"/>
    </row>
    <row r="116">
      <c r="O116" s="25"/>
      <c r="P116" s="26"/>
      <c r="Q116" s="26"/>
    </row>
    <row r="117">
      <c r="O117" s="25"/>
      <c r="P117" s="26"/>
      <c r="Q117" s="26"/>
    </row>
    <row r="118">
      <c r="O118" s="25"/>
      <c r="P118" s="26"/>
      <c r="Q118" s="26"/>
    </row>
    <row r="119">
      <c r="O119" s="25"/>
      <c r="P119" s="26"/>
      <c r="Q119" s="26"/>
    </row>
    <row r="120">
      <c r="O120" s="25"/>
      <c r="P120" s="26"/>
      <c r="Q120" s="26"/>
    </row>
    <row r="121">
      <c r="O121" s="25"/>
      <c r="P121" s="26"/>
      <c r="Q121" s="26"/>
    </row>
    <row r="122">
      <c r="O122" s="25"/>
      <c r="P122" s="26"/>
      <c r="Q122" s="26"/>
    </row>
    <row r="123">
      <c r="O123" s="25"/>
      <c r="P123" s="26"/>
      <c r="Q123" s="26"/>
    </row>
    <row r="124">
      <c r="O124" s="25"/>
      <c r="P124" s="26"/>
      <c r="Q124" s="26"/>
    </row>
    <row r="125">
      <c r="O125" s="25"/>
      <c r="P125" s="26"/>
      <c r="Q125" s="26"/>
    </row>
    <row r="126">
      <c r="O126" s="25"/>
      <c r="P126" s="26"/>
      <c r="Q126" s="26"/>
    </row>
    <row r="127">
      <c r="O127" s="25"/>
      <c r="P127" s="26"/>
      <c r="Q127" s="26"/>
    </row>
    <row r="128">
      <c r="O128" s="25"/>
      <c r="P128" s="26"/>
      <c r="Q128" s="26"/>
    </row>
    <row r="129">
      <c r="O129" s="25"/>
      <c r="P129" s="26"/>
      <c r="Q129" s="26"/>
    </row>
    <row r="130">
      <c r="O130" s="25"/>
      <c r="P130" s="26"/>
      <c r="Q130" s="26"/>
    </row>
    <row r="131">
      <c r="O131" s="25"/>
      <c r="P131" s="26"/>
      <c r="Q131" s="26"/>
    </row>
    <row r="132">
      <c r="O132" s="25"/>
      <c r="P132" s="26"/>
      <c r="Q132" s="26"/>
    </row>
    <row r="133">
      <c r="O133" s="25"/>
      <c r="P133" s="26"/>
      <c r="Q133" s="26"/>
    </row>
    <row r="134">
      <c r="O134" s="25"/>
      <c r="P134" s="26"/>
      <c r="Q134" s="26"/>
    </row>
    <row r="135">
      <c r="O135" s="25"/>
      <c r="P135" s="26"/>
      <c r="Q135" s="26"/>
    </row>
    <row r="136">
      <c r="O136" s="25"/>
      <c r="P136" s="26"/>
      <c r="Q136" s="26"/>
    </row>
    <row r="137">
      <c r="O137" s="25"/>
      <c r="P137" s="26"/>
      <c r="Q137" s="26"/>
    </row>
    <row r="138">
      <c r="O138" s="25"/>
      <c r="P138" s="26"/>
      <c r="Q138" s="26"/>
    </row>
    <row r="139">
      <c r="O139" s="25"/>
      <c r="P139" s="26"/>
      <c r="Q139" s="26"/>
    </row>
    <row r="140">
      <c r="O140" s="25"/>
      <c r="P140" s="26"/>
      <c r="Q140" s="26"/>
    </row>
    <row r="141">
      <c r="O141" s="25"/>
      <c r="P141" s="26"/>
      <c r="Q141" s="26"/>
    </row>
    <row r="142">
      <c r="O142" s="25"/>
      <c r="P142" s="26"/>
      <c r="Q142" s="26"/>
    </row>
    <row r="143">
      <c r="O143" s="25"/>
      <c r="P143" s="26"/>
      <c r="Q143" s="26"/>
    </row>
    <row r="144">
      <c r="O144" s="25"/>
      <c r="P144" s="26"/>
      <c r="Q144" s="26"/>
    </row>
    <row r="145">
      <c r="O145" s="25"/>
      <c r="P145" s="26"/>
      <c r="Q145" s="26"/>
    </row>
    <row r="146">
      <c r="O146" s="25"/>
      <c r="P146" s="26"/>
      <c r="Q146" s="26"/>
    </row>
    <row r="147">
      <c r="O147" s="25"/>
      <c r="P147" s="26"/>
      <c r="Q147" s="26"/>
    </row>
    <row r="148">
      <c r="O148" s="25"/>
      <c r="P148" s="26"/>
      <c r="Q148" s="26"/>
    </row>
    <row r="149">
      <c r="O149" s="25"/>
      <c r="P149" s="26"/>
      <c r="Q149" s="26"/>
    </row>
    <row r="150">
      <c r="O150" s="25"/>
      <c r="P150" s="26"/>
      <c r="Q150" s="26"/>
    </row>
    <row r="151">
      <c r="O151" s="25"/>
      <c r="P151" s="26"/>
      <c r="Q151" s="26"/>
    </row>
    <row r="152">
      <c r="O152" s="25"/>
      <c r="P152" s="26"/>
      <c r="Q152" s="26"/>
    </row>
    <row r="153">
      <c r="O153" s="25"/>
      <c r="P153" s="26"/>
      <c r="Q153" s="26"/>
    </row>
    <row r="154">
      <c r="O154" s="25"/>
      <c r="P154" s="26"/>
      <c r="Q154" s="26"/>
    </row>
    <row r="155">
      <c r="O155" s="25"/>
      <c r="P155" s="26"/>
      <c r="Q155" s="26"/>
    </row>
    <row r="156">
      <c r="O156" s="25"/>
      <c r="P156" s="26"/>
      <c r="Q156" s="26"/>
    </row>
    <row r="157">
      <c r="O157" s="25"/>
      <c r="P157" s="26"/>
      <c r="Q157" s="26"/>
    </row>
    <row r="158">
      <c r="O158" s="25"/>
      <c r="P158" s="26"/>
      <c r="Q158" s="26"/>
    </row>
    <row r="159">
      <c r="O159" s="25"/>
      <c r="P159" s="26"/>
      <c r="Q159" s="26"/>
    </row>
    <row r="160">
      <c r="O160" s="25"/>
      <c r="P160" s="26"/>
      <c r="Q160" s="26"/>
    </row>
    <row r="161">
      <c r="O161" s="25"/>
      <c r="P161" s="26"/>
      <c r="Q161" s="26"/>
    </row>
    <row r="162">
      <c r="O162" s="25"/>
      <c r="P162" s="26"/>
      <c r="Q162" s="26"/>
    </row>
    <row r="163">
      <c r="O163" s="25"/>
      <c r="P163" s="26"/>
      <c r="Q163" s="26"/>
    </row>
    <row r="164">
      <c r="O164" s="25"/>
      <c r="P164" s="26"/>
      <c r="Q164" s="26"/>
    </row>
    <row r="165">
      <c r="O165" s="25"/>
      <c r="P165" s="26"/>
      <c r="Q165" s="26"/>
    </row>
    <row r="166">
      <c r="O166" s="25"/>
      <c r="P166" s="26"/>
      <c r="Q166" s="26"/>
    </row>
    <row r="167">
      <c r="O167" s="25"/>
      <c r="P167" s="26"/>
      <c r="Q167" s="26"/>
    </row>
    <row r="168">
      <c r="O168" s="25"/>
      <c r="P168" s="26"/>
      <c r="Q168" s="26"/>
    </row>
    <row r="169">
      <c r="O169" s="25"/>
      <c r="P169" s="26"/>
      <c r="Q169" s="26"/>
    </row>
    <row r="170">
      <c r="O170" s="25"/>
      <c r="P170" s="26"/>
      <c r="Q170" s="26"/>
    </row>
    <row r="171">
      <c r="O171" s="25"/>
      <c r="P171" s="26"/>
      <c r="Q171" s="26"/>
    </row>
    <row r="172">
      <c r="O172" s="25"/>
      <c r="P172" s="26"/>
      <c r="Q172" s="26"/>
    </row>
    <row r="173">
      <c r="O173" s="25"/>
      <c r="P173" s="26"/>
      <c r="Q173" s="26"/>
    </row>
    <row r="174">
      <c r="O174" s="25"/>
      <c r="P174" s="26"/>
      <c r="Q174" s="26"/>
    </row>
    <row r="175">
      <c r="O175" s="25"/>
      <c r="P175" s="26"/>
      <c r="Q175" s="26"/>
    </row>
    <row r="176">
      <c r="O176" s="25"/>
      <c r="P176" s="26"/>
      <c r="Q176" s="26"/>
    </row>
    <row r="177">
      <c r="O177" s="25"/>
      <c r="P177" s="26"/>
      <c r="Q177" s="26"/>
    </row>
    <row r="178">
      <c r="O178" s="25"/>
      <c r="P178" s="26"/>
      <c r="Q178" s="26"/>
    </row>
    <row r="179">
      <c r="O179" s="25"/>
      <c r="P179" s="26"/>
      <c r="Q179" s="26"/>
    </row>
    <row r="180">
      <c r="O180" s="25"/>
      <c r="P180" s="26"/>
      <c r="Q180" s="26"/>
    </row>
    <row r="181">
      <c r="O181" s="25"/>
      <c r="P181" s="26"/>
      <c r="Q181" s="26"/>
    </row>
    <row r="182">
      <c r="O182" s="25"/>
      <c r="P182" s="26"/>
      <c r="Q182" s="26"/>
    </row>
    <row r="183">
      <c r="O183" s="25"/>
      <c r="P183" s="26"/>
      <c r="Q183" s="26"/>
    </row>
    <row r="184">
      <c r="O184" s="25"/>
      <c r="P184" s="26"/>
      <c r="Q184" s="26"/>
    </row>
    <row r="185">
      <c r="O185" s="25"/>
      <c r="P185" s="26"/>
      <c r="Q185" s="26"/>
    </row>
    <row r="186">
      <c r="O186" s="25"/>
      <c r="P186" s="26"/>
      <c r="Q186" s="26"/>
    </row>
    <row r="187">
      <c r="O187" s="25"/>
      <c r="P187" s="26"/>
      <c r="Q187" s="26"/>
    </row>
    <row r="188">
      <c r="O188" s="25"/>
      <c r="P188" s="26"/>
      <c r="Q188" s="26"/>
    </row>
    <row r="189">
      <c r="O189" s="25"/>
      <c r="P189" s="26"/>
      <c r="Q189" s="26"/>
    </row>
    <row r="190">
      <c r="O190" s="25"/>
      <c r="P190" s="26"/>
      <c r="Q190" s="26"/>
    </row>
    <row r="191">
      <c r="O191" s="25"/>
      <c r="P191" s="26"/>
      <c r="Q191" s="26"/>
    </row>
    <row r="192">
      <c r="O192" s="25"/>
      <c r="P192" s="26"/>
      <c r="Q192" s="26"/>
    </row>
    <row r="193">
      <c r="O193" s="25"/>
      <c r="P193" s="26"/>
      <c r="Q193" s="26"/>
    </row>
    <row r="194">
      <c r="O194" s="25"/>
      <c r="P194" s="26"/>
      <c r="Q194" s="26"/>
    </row>
    <row r="195">
      <c r="O195" s="25"/>
      <c r="P195" s="26"/>
      <c r="Q195" s="26"/>
    </row>
    <row r="196">
      <c r="O196" s="25"/>
      <c r="P196" s="26"/>
      <c r="Q196" s="26"/>
    </row>
    <row r="197">
      <c r="O197" s="25"/>
      <c r="P197" s="26"/>
      <c r="Q197" s="26"/>
    </row>
    <row r="198">
      <c r="O198" s="25"/>
      <c r="P198" s="26"/>
      <c r="Q198" s="26"/>
    </row>
    <row r="199">
      <c r="O199" s="25"/>
      <c r="P199" s="26"/>
      <c r="Q199" s="26"/>
    </row>
    <row r="200">
      <c r="O200" s="25"/>
      <c r="P200" s="26"/>
      <c r="Q200" s="26"/>
    </row>
    <row r="201">
      <c r="O201" s="25"/>
      <c r="P201" s="26"/>
      <c r="Q201" s="26"/>
    </row>
    <row r="202">
      <c r="O202" s="25"/>
      <c r="P202" s="26"/>
      <c r="Q202" s="26"/>
    </row>
    <row r="203">
      <c r="O203" s="25"/>
      <c r="P203" s="26"/>
      <c r="Q203" s="26"/>
    </row>
    <row r="204">
      <c r="O204" s="25"/>
      <c r="P204" s="26"/>
      <c r="Q204" s="26"/>
    </row>
    <row r="205">
      <c r="O205" s="25"/>
      <c r="P205" s="26"/>
      <c r="Q205" s="26"/>
    </row>
    <row r="206">
      <c r="O206" s="25"/>
      <c r="P206" s="26"/>
      <c r="Q206" s="26"/>
    </row>
    <row r="207">
      <c r="O207" s="25"/>
      <c r="P207" s="26"/>
      <c r="Q207" s="26"/>
    </row>
    <row r="208">
      <c r="O208" s="25"/>
      <c r="P208" s="26"/>
      <c r="Q208" s="26"/>
    </row>
    <row r="209">
      <c r="O209" s="25"/>
      <c r="P209" s="26"/>
      <c r="Q209" s="26"/>
    </row>
    <row r="210">
      <c r="O210" s="25"/>
      <c r="P210" s="26"/>
      <c r="Q210" s="26"/>
    </row>
    <row r="211">
      <c r="O211" s="25"/>
      <c r="P211" s="26"/>
      <c r="Q211" s="26"/>
    </row>
    <row r="212">
      <c r="O212" s="25"/>
      <c r="P212" s="26"/>
      <c r="Q212" s="26"/>
    </row>
    <row r="213">
      <c r="O213" s="25"/>
      <c r="P213" s="26"/>
      <c r="Q213" s="26"/>
    </row>
    <row r="214">
      <c r="O214" s="25"/>
      <c r="P214" s="26"/>
      <c r="Q214" s="26"/>
    </row>
    <row r="215">
      <c r="O215" s="25"/>
      <c r="P215" s="26"/>
      <c r="Q215" s="26"/>
    </row>
    <row r="216">
      <c r="O216" s="25"/>
      <c r="P216" s="26"/>
      <c r="Q216" s="26"/>
    </row>
    <row r="217">
      <c r="O217" s="25"/>
      <c r="P217" s="26"/>
      <c r="Q217" s="26"/>
    </row>
    <row r="218">
      <c r="O218" s="25"/>
      <c r="P218" s="26"/>
      <c r="Q218" s="26"/>
    </row>
    <row r="219">
      <c r="O219" s="25"/>
      <c r="P219" s="26"/>
      <c r="Q219" s="26"/>
    </row>
    <row r="220">
      <c r="O220" s="25"/>
      <c r="P220" s="26"/>
      <c r="Q220" s="26"/>
    </row>
    <row r="221">
      <c r="O221" s="25"/>
      <c r="P221" s="26"/>
      <c r="Q221" s="26"/>
    </row>
    <row r="222">
      <c r="O222" s="25"/>
      <c r="P222" s="26"/>
      <c r="Q222" s="26"/>
    </row>
    <row r="223">
      <c r="O223" s="25"/>
      <c r="P223" s="26"/>
      <c r="Q223" s="26"/>
    </row>
    <row r="224">
      <c r="O224" s="25"/>
      <c r="P224" s="26"/>
      <c r="Q224" s="26"/>
    </row>
    <row r="225">
      <c r="O225" s="25"/>
      <c r="P225" s="26"/>
      <c r="Q225" s="26"/>
    </row>
    <row r="226">
      <c r="O226" s="25"/>
      <c r="P226" s="26"/>
      <c r="Q226" s="26"/>
    </row>
    <row r="227">
      <c r="O227" s="25"/>
      <c r="P227" s="26"/>
      <c r="Q227" s="26"/>
    </row>
    <row r="228">
      <c r="O228" s="25"/>
      <c r="P228" s="26"/>
      <c r="Q228" s="26"/>
    </row>
    <row r="229">
      <c r="O229" s="25"/>
      <c r="P229" s="26"/>
      <c r="Q229" s="26"/>
    </row>
    <row r="230">
      <c r="O230" s="25"/>
      <c r="P230" s="26"/>
      <c r="Q230" s="26"/>
    </row>
    <row r="231">
      <c r="O231" s="25"/>
      <c r="P231" s="26"/>
      <c r="Q231" s="26"/>
    </row>
    <row r="232">
      <c r="O232" s="25"/>
      <c r="P232" s="26"/>
      <c r="Q232" s="26"/>
    </row>
    <row r="233">
      <c r="O233" s="25"/>
      <c r="P233" s="26"/>
      <c r="Q233" s="26"/>
    </row>
    <row r="234">
      <c r="O234" s="25"/>
      <c r="P234" s="26"/>
      <c r="Q234" s="26"/>
    </row>
    <row r="235">
      <c r="O235" s="25"/>
      <c r="P235" s="26"/>
      <c r="Q235" s="26"/>
    </row>
    <row r="236">
      <c r="O236" s="25"/>
      <c r="P236" s="26"/>
      <c r="Q236" s="26"/>
    </row>
    <row r="237">
      <c r="O237" s="25"/>
      <c r="P237" s="26"/>
      <c r="Q237" s="26"/>
    </row>
    <row r="238">
      <c r="O238" s="25"/>
      <c r="P238" s="26"/>
      <c r="Q238" s="26"/>
    </row>
    <row r="239">
      <c r="O239" s="25"/>
      <c r="P239" s="26"/>
      <c r="Q239" s="26"/>
    </row>
    <row r="240">
      <c r="O240" s="25"/>
      <c r="P240" s="26"/>
      <c r="Q240" s="26"/>
    </row>
    <row r="241">
      <c r="O241" s="25"/>
      <c r="P241" s="26"/>
      <c r="Q241" s="26"/>
    </row>
    <row r="242">
      <c r="O242" s="25"/>
      <c r="P242" s="26"/>
      <c r="Q242" s="26"/>
    </row>
    <row r="243">
      <c r="O243" s="25"/>
      <c r="P243" s="26"/>
      <c r="Q243" s="26"/>
    </row>
    <row r="244">
      <c r="O244" s="25"/>
      <c r="P244" s="26"/>
      <c r="Q244" s="26"/>
    </row>
    <row r="245">
      <c r="O245" s="25"/>
      <c r="P245" s="26"/>
      <c r="Q245" s="26"/>
    </row>
    <row r="246">
      <c r="O246" s="25"/>
      <c r="P246" s="26"/>
      <c r="Q246" s="26"/>
    </row>
    <row r="247">
      <c r="O247" s="25"/>
      <c r="P247" s="26"/>
      <c r="Q247" s="26"/>
    </row>
    <row r="248">
      <c r="O248" s="25"/>
      <c r="P248" s="26"/>
      <c r="Q248" s="26"/>
    </row>
    <row r="249">
      <c r="O249" s="25"/>
      <c r="P249" s="26"/>
      <c r="Q249" s="26"/>
    </row>
    <row r="250">
      <c r="O250" s="25"/>
      <c r="P250" s="26"/>
      <c r="Q250" s="26"/>
    </row>
    <row r="251">
      <c r="O251" s="25"/>
      <c r="P251" s="26"/>
      <c r="Q251" s="26"/>
    </row>
    <row r="252">
      <c r="O252" s="25"/>
      <c r="P252" s="26"/>
      <c r="Q252" s="26"/>
    </row>
    <row r="253">
      <c r="O253" s="25"/>
      <c r="P253" s="26"/>
      <c r="Q253" s="26"/>
    </row>
    <row r="254">
      <c r="O254" s="25"/>
      <c r="P254" s="26"/>
      <c r="Q254" s="26"/>
    </row>
    <row r="255">
      <c r="O255" s="25"/>
      <c r="P255" s="26"/>
      <c r="Q255" s="26"/>
    </row>
    <row r="256">
      <c r="O256" s="25"/>
      <c r="P256" s="26"/>
      <c r="Q256" s="26"/>
    </row>
    <row r="257">
      <c r="O257" s="25"/>
      <c r="P257" s="26"/>
      <c r="Q257" s="26"/>
    </row>
    <row r="258">
      <c r="O258" s="25"/>
      <c r="P258" s="26"/>
      <c r="Q258" s="26"/>
    </row>
    <row r="259">
      <c r="O259" s="25"/>
      <c r="P259" s="26"/>
      <c r="Q259" s="26"/>
    </row>
    <row r="260">
      <c r="O260" s="25"/>
      <c r="P260" s="26"/>
      <c r="Q260" s="26"/>
    </row>
    <row r="261">
      <c r="O261" s="25"/>
      <c r="P261" s="26"/>
      <c r="Q261" s="26"/>
    </row>
    <row r="262">
      <c r="O262" s="25"/>
      <c r="P262" s="26"/>
      <c r="Q262" s="26"/>
    </row>
    <row r="263">
      <c r="O263" s="25"/>
      <c r="P263" s="26"/>
      <c r="Q263" s="26"/>
    </row>
    <row r="264">
      <c r="O264" s="25"/>
      <c r="P264" s="26"/>
      <c r="Q264" s="26"/>
    </row>
    <row r="265">
      <c r="O265" s="25"/>
      <c r="P265" s="26"/>
      <c r="Q265" s="26"/>
    </row>
    <row r="266">
      <c r="O266" s="25"/>
      <c r="P266" s="26"/>
      <c r="Q266" s="26"/>
    </row>
    <row r="267">
      <c r="O267" s="25"/>
      <c r="P267" s="26"/>
      <c r="Q267" s="26"/>
    </row>
    <row r="268">
      <c r="O268" s="25"/>
      <c r="P268" s="26"/>
      <c r="Q268" s="26"/>
    </row>
    <row r="269">
      <c r="O269" s="25"/>
      <c r="P269" s="26"/>
      <c r="Q269" s="26"/>
    </row>
    <row r="270">
      <c r="O270" s="25"/>
      <c r="P270" s="26"/>
      <c r="Q270" s="26"/>
    </row>
    <row r="271">
      <c r="O271" s="25"/>
      <c r="P271" s="26"/>
      <c r="Q271" s="26"/>
    </row>
    <row r="272">
      <c r="O272" s="25"/>
      <c r="P272" s="26"/>
      <c r="Q272" s="26"/>
    </row>
    <row r="273">
      <c r="O273" s="25"/>
      <c r="P273" s="26"/>
      <c r="Q273" s="26"/>
    </row>
    <row r="274">
      <c r="O274" s="25"/>
      <c r="P274" s="26"/>
      <c r="Q274" s="26"/>
    </row>
    <row r="275">
      <c r="O275" s="25"/>
      <c r="P275" s="26"/>
      <c r="Q275" s="26"/>
    </row>
    <row r="276">
      <c r="O276" s="25"/>
      <c r="P276" s="26"/>
      <c r="Q276" s="26"/>
    </row>
    <row r="277">
      <c r="O277" s="25"/>
      <c r="P277" s="26"/>
      <c r="Q277" s="26"/>
    </row>
    <row r="278">
      <c r="O278" s="25"/>
      <c r="P278" s="26"/>
      <c r="Q278" s="26"/>
    </row>
    <row r="279">
      <c r="O279" s="25"/>
      <c r="P279" s="26"/>
      <c r="Q279" s="26"/>
    </row>
    <row r="280">
      <c r="O280" s="25"/>
      <c r="P280" s="26"/>
      <c r="Q280" s="26"/>
    </row>
    <row r="281">
      <c r="O281" s="25"/>
      <c r="P281" s="26"/>
      <c r="Q281" s="26"/>
    </row>
    <row r="282">
      <c r="O282" s="25"/>
      <c r="P282" s="26"/>
      <c r="Q282" s="26"/>
    </row>
    <row r="283">
      <c r="O283" s="25"/>
      <c r="P283" s="26"/>
      <c r="Q283" s="26"/>
    </row>
    <row r="284">
      <c r="O284" s="25"/>
      <c r="P284" s="26"/>
      <c r="Q284" s="26"/>
    </row>
    <row r="285">
      <c r="O285" s="25"/>
      <c r="P285" s="26"/>
      <c r="Q285" s="26"/>
    </row>
    <row r="286">
      <c r="O286" s="25"/>
      <c r="P286" s="26"/>
      <c r="Q286" s="26"/>
    </row>
    <row r="287">
      <c r="O287" s="25"/>
      <c r="P287" s="26"/>
      <c r="Q287" s="26"/>
    </row>
    <row r="288">
      <c r="O288" s="25"/>
      <c r="P288" s="26"/>
      <c r="Q288" s="26"/>
    </row>
    <row r="289">
      <c r="O289" s="25"/>
      <c r="P289" s="26"/>
      <c r="Q289" s="26"/>
    </row>
    <row r="290">
      <c r="O290" s="25"/>
      <c r="P290" s="26"/>
      <c r="Q290" s="26"/>
    </row>
    <row r="291">
      <c r="O291" s="25"/>
      <c r="P291" s="26"/>
      <c r="Q291" s="26"/>
    </row>
    <row r="292">
      <c r="O292" s="25"/>
      <c r="P292" s="26"/>
      <c r="Q292" s="26"/>
    </row>
    <row r="293">
      <c r="O293" s="25"/>
      <c r="P293" s="26"/>
      <c r="Q293" s="26"/>
    </row>
    <row r="294">
      <c r="O294" s="25"/>
      <c r="P294" s="26"/>
      <c r="Q294" s="26"/>
    </row>
    <row r="295">
      <c r="O295" s="25"/>
      <c r="P295" s="26"/>
      <c r="Q295" s="26"/>
    </row>
    <row r="296">
      <c r="O296" s="25"/>
      <c r="P296" s="26"/>
      <c r="Q296" s="26"/>
    </row>
    <row r="297">
      <c r="O297" s="25"/>
      <c r="P297" s="26"/>
      <c r="Q297" s="26"/>
    </row>
    <row r="298">
      <c r="O298" s="25"/>
      <c r="P298" s="26"/>
      <c r="Q298" s="26"/>
    </row>
    <row r="299">
      <c r="O299" s="25"/>
      <c r="P299" s="26"/>
      <c r="Q299" s="26"/>
    </row>
    <row r="300">
      <c r="O300" s="25"/>
      <c r="P300" s="26"/>
      <c r="Q300" s="26"/>
    </row>
    <row r="301">
      <c r="O301" s="25"/>
      <c r="P301" s="26"/>
      <c r="Q301" s="26"/>
    </row>
    <row r="302">
      <c r="O302" s="25"/>
      <c r="P302" s="26"/>
      <c r="Q302" s="26"/>
    </row>
    <row r="303">
      <c r="O303" s="25"/>
      <c r="P303" s="26"/>
      <c r="Q303" s="26"/>
    </row>
    <row r="304">
      <c r="O304" s="25"/>
      <c r="P304" s="26"/>
      <c r="Q304" s="26"/>
    </row>
    <row r="305">
      <c r="O305" s="25"/>
      <c r="P305" s="26"/>
      <c r="Q305" s="26"/>
    </row>
    <row r="306">
      <c r="O306" s="25"/>
      <c r="P306" s="26"/>
      <c r="Q306" s="26"/>
    </row>
    <row r="307">
      <c r="O307" s="25"/>
      <c r="P307" s="26"/>
      <c r="Q307" s="26"/>
    </row>
    <row r="308">
      <c r="O308" s="25"/>
      <c r="P308" s="26"/>
      <c r="Q308" s="26"/>
    </row>
    <row r="309">
      <c r="O309" s="25"/>
      <c r="P309" s="26"/>
      <c r="Q309" s="26"/>
    </row>
    <row r="310">
      <c r="O310" s="25"/>
      <c r="P310" s="26"/>
      <c r="Q310" s="26"/>
    </row>
    <row r="311">
      <c r="O311" s="25"/>
      <c r="P311" s="26"/>
      <c r="Q311" s="26"/>
    </row>
    <row r="312">
      <c r="O312" s="25"/>
      <c r="P312" s="26"/>
      <c r="Q312" s="26"/>
    </row>
    <row r="313">
      <c r="O313" s="25"/>
      <c r="P313" s="26"/>
      <c r="Q313" s="26"/>
    </row>
    <row r="314">
      <c r="O314" s="25"/>
      <c r="P314" s="26"/>
      <c r="Q314" s="26"/>
    </row>
    <row r="315">
      <c r="O315" s="25"/>
      <c r="P315" s="26"/>
      <c r="Q315" s="26"/>
    </row>
    <row r="316">
      <c r="O316" s="25"/>
      <c r="P316" s="26"/>
      <c r="Q316" s="26"/>
    </row>
    <row r="317">
      <c r="O317" s="25"/>
      <c r="P317" s="26"/>
      <c r="Q317" s="26"/>
    </row>
    <row r="318">
      <c r="O318" s="25"/>
      <c r="P318" s="26"/>
      <c r="Q318" s="26"/>
    </row>
    <row r="319">
      <c r="O319" s="25"/>
      <c r="P319" s="26"/>
      <c r="Q319" s="26"/>
    </row>
    <row r="320">
      <c r="O320" s="25"/>
      <c r="P320" s="26"/>
      <c r="Q320" s="26"/>
    </row>
    <row r="321">
      <c r="O321" s="25"/>
      <c r="P321" s="26"/>
      <c r="Q321" s="26"/>
    </row>
    <row r="322">
      <c r="O322" s="25"/>
      <c r="P322" s="26"/>
      <c r="Q322" s="26"/>
    </row>
    <row r="323">
      <c r="O323" s="25"/>
      <c r="P323" s="26"/>
      <c r="Q323" s="26"/>
    </row>
    <row r="324">
      <c r="O324" s="25"/>
      <c r="P324" s="26"/>
      <c r="Q324" s="26"/>
    </row>
    <row r="325">
      <c r="O325" s="25"/>
      <c r="P325" s="26"/>
      <c r="Q325" s="26"/>
    </row>
    <row r="326">
      <c r="O326" s="25"/>
      <c r="P326" s="26"/>
      <c r="Q326" s="26"/>
    </row>
    <row r="327">
      <c r="O327" s="25"/>
      <c r="P327" s="26"/>
      <c r="Q327" s="26"/>
    </row>
    <row r="328">
      <c r="O328" s="25"/>
      <c r="P328" s="26"/>
      <c r="Q328" s="26"/>
    </row>
    <row r="329">
      <c r="O329" s="25"/>
      <c r="P329" s="26"/>
      <c r="Q329" s="26"/>
    </row>
    <row r="330">
      <c r="O330" s="25"/>
      <c r="P330" s="26"/>
      <c r="Q330" s="26"/>
    </row>
    <row r="331">
      <c r="O331" s="25"/>
      <c r="P331" s="26"/>
      <c r="Q331" s="26"/>
    </row>
    <row r="332">
      <c r="O332" s="25"/>
      <c r="P332" s="26"/>
      <c r="Q332" s="26"/>
    </row>
    <row r="333">
      <c r="O333" s="25"/>
      <c r="P333" s="26"/>
      <c r="Q333" s="26"/>
    </row>
    <row r="334">
      <c r="O334" s="25"/>
      <c r="P334" s="26"/>
      <c r="Q334" s="26"/>
    </row>
    <row r="335">
      <c r="O335" s="25"/>
      <c r="P335" s="26"/>
      <c r="Q335" s="26"/>
    </row>
    <row r="336">
      <c r="O336" s="25"/>
      <c r="P336" s="26"/>
      <c r="Q336" s="26"/>
    </row>
    <row r="337">
      <c r="O337" s="25"/>
      <c r="P337" s="26"/>
      <c r="Q337" s="26"/>
    </row>
    <row r="338">
      <c r="O338" s="25"/>
      <c r="P338" s="26"/>
      <c r="Q338" s="26"/>
    </row>
    <row r="339">
      <c r="O339" s="25"/>
      <c r="P339" s="26"/>
      <c r="Q339" s="26"/>
    </row>
    <row r="340">
      <c r="O340" s="25"/>
      <c r="P340" s="26"/>
      <c r="Q340" s="26"/>
    </row>
    <row r="341">
      <c r="O341" s="25"/>
      <c r="P341" s="26"/>
      <c r="Q341" s="26"/>
    </row>
    <row r="342">
      <c r="O342" s="25"/>
      <c r="P342" s="26"/>
      <c r="Q342" s="26"/>
    </row>
    <row r="343">
      <c r="O343" s="25"/>
      <c r="P343" s="26"/>
      <c r="Q343" s="26"/>
    </row>
    <row r="344">
      <c r="O344" s="25"/>
      <c r="P344" s="26"/>
      <c r="Q344" s="26"/>
    </row>
    <row r="345">
      <c r="O345" s="25"/>
      <c r="P345" s="26"/>
      <c r="Q345" s="26"/>
    </row>
    <row r="346">
      <c r="O346" s="25"/>
      <c r="P346" s="26"/>
      <c r="Q346" s="26"/>
    </row>
    <row r="347">
      <c r="O347" s="25"/>
      <c r="P347" s="26"/>
      <c r="Q347" s="26"/>
    </row>
    <row r="348">
      <c r="O348" s="25"/>
      <c r="P348" s="26"/>
      <c r="Q348" s="26"/>
    </row>
    <row r="349">
      <c r="O349" s="25"/>
      <c r="P349" s="26"/>
      <c r="Q349" s="26"/>
    </row>
    <row r="350">
      <c r="O350" s="25"/>
      <c r="P350" s="26"/>
      <c r="Q350" s="26"/>
    </row>
    <row r="351">
      <c r="O351" s="25"/>
      <c r="P351" s="26"/>
      <c r="Q351" s="26"/>
    </row>
    <row r="352">
      <c r="O352" s="25"/>
      <c r="P352" s="26"/>
      <c r="Q352" s="26"/>
    </row>
    <row r="353">
      <c r="O353" s="25"/>
      <c r="P353" s="26"/>
      <c r="Q353" s="26"/>
    </row>
    <row r="354">
      <c r="O354" s="25"/>
      <c r="P354" s="26"/>
      <c r="Q354" s="26"/>
    </row>
    <row r="355">
      <c r="O355" s="25"/>
      <c r="P355" s="26"/>
      <c r="Q355" s="26"/>
    </row>
    <row r="356">
      <c r="O356" s="25"/>
      <c r="P356" s="26"/>
      <c r="Q356" s="26"/>
    </row>
    <row r="357">
      <c r="O357" s="25"/>
      <c r="P357" s="26"/>
      <c r="Q357" s="26"/>
    </row>
    <row r="358">
      <c r="O358" s="25"/>
      <c r="P358" s="26"/>
      <c r="Q358" s="26"/>
    </row>
    <row r="359">
      <c r="O359" s="25"/>
      <c r="P359" s="26"/>
      <c r="Q359" s="26"/>
    </row>
    <row r="360">
      <c r="O360" s="25"/>
      <c r="P360" s="26"/>
      <c r="Q360" s="26"/>
    </row>
    <row r="361">
      <c r="O361" s="25"/>
      <c r="P361" s="26"/>
      <c r="Q361" s="26"/>
    </row>
    <row r="362">
      <c r="O362" s="25"/>
      <c r="P362" s="26"/>
      <c r="Q362" s="26"/>
    </row>
    <row r="363">
      <c r="O363" s="25"/>
      <c r="P363" s="26"/>
      <c r="Q363" s="26"/>
    </row>
    <row r="364">
      <c r="O364" s="25"/>
      <c r="P364" s="26"/>
      <c r="Q364" s="26"/>
    </row>
    <row r="365">
      <c r="O365" s="25"/>
      <c r="P365" s="26"/>
      <c r="Q365" s="26"/>
    </row>
    <row r="366">
      <c r="O366" s="25"/>
      <c r="P366" s="26"/>
      <c r="Q366" s="26"/>
    </row>
    <row r="367">
      <c r="O367" s="25"/>
      <c r="P367" s="26"/>
      <c r="Q367" s="26"/>
    </row>
    <row r="368">
      <c r="O368" s="25"/>
      <c r="P368" s="26"/>
      <c r="Q368" s="26"/>
    </row>
    <row r="369">
      <c r="O369" s="25"/>
      <c r="P369" s="26"/>
      <c r="Q369" s="26"/>
    </row>
    <row r="370">
      <c r="O370" s="25"/>
      <c r="P370" s="26"/>
      <c r="Q370" s="26"/>
    </row>
    <row r="371">
      <c r="O371" s="25"/>
      <c r="P371" s="26"/>
      <c r="Q371" s="26"/>
    </row>
    <row r="372">
      <c r="O372" s="25"/>
      <c r="P372" s="26"/>
      <c r="Q372" s="26"/>
    </row>
    <row r="373">
      <c r="O373" s="25"/>
      <c r="P373" s="26"/>
      <c r="Q373" s="26"/>
    </row>
    <row r="374">
      <c r="O374" s="25"/>
      <c r="P374" s="26"/>
      <c r="Q374" s="26"/>
    </row>
    <row r="375">
      <c r="O375" s="25"/>
      <c r="P375" s="26"/>
      <c r="Q375" s="26"/>
    </row>
    <row r="376">
      <c r="O376" s="25"/>
      <c r="P376" s="26"/>
      <c r="Q376" s="26"/>
    </row>
    <row r="377">
      <c r="O377" s="25"/>
      <c r="P377" s="26"/>
      <c r="Q377" s="26"/>
    </row>
    <row r="378">
      <c r="O378" s="25"/>
      <c r="P378" s="26"/>
      <c r="Q378" s="26"/>
    </row>
    <row r="379">
      <c r="O379" s="25"/>
      <c r="P379" s="26"/>
      <c r="Q379" s="26"/>
    </row>
    <row r="380">
      <c r="O380" s="25"/>
      <c r="P380" s="26"/>
      <c r="Q380" s="26"/>
    </row>
    <row r="381">
      <c r="O381" s="25"/>
      <c r="P381" s="26"/>
      <c r="Q381" s="26"/>
    </row>
    <row r="382">
      <c r="O382" s="25"/>
      <c r="P382" s="26"/>
      <c r="Q382" s="26"/>
    </row>
    <row r="383">
      <c r="O383" s="25"/>
      <c r="P383" s="26"/>
      <c r="Q383" s="26"/>
    </row>
    <row r="384">
      <c r="O384" s="25"/>
      <c r="P384" s="26"/>
      <c r="Q384" s="26"/>
    </row>
    <row r="385">
      <c r="O385" s="25"/>
      <c r="P385" s="26"/>
      <c r="Q385" s="26"/>
    </row>
    <row r="386">
      <c r="O386" s="25"/>
      <c r="P386" s="26"/>
      <c r="Q386" s="26"/>
    </row>
    <row r="387">
      <c r="O387" s="25"/>
      <c r="P387" s="26"/>
      <c r="Q387" s="26"/>
    </row>
    <row r="388">
      <c r="O388" s="25"/>
      <c r="P388" s="26"/>
      <c r="Q388" s="26"/>
    </row>
    <row r="389">
      <c r="O389" s="25"/>
      <c r="P389" s="26"/>
      <c r="Q389" s="26"/>
    </row>
    <row r="390">
      <c r="O390" s="25"/>
      <c r="P390" s="26"/>
      <c r="Q390" s="26"/>
    </row>
    <row r="391">
      <c r="O391" s="25"/>
      <c r="P391" s="26"/>
      <c r="Q391" s="26"/>
    </row>
    <row r="392">
      <c r="O392" s="25"/>
      <c r="P392" s="26"/>
      <c r="Q392" s="26"/>
    </row>
    <row r="393">
      <c r="O393" s="25"/>
      <c r="P393" s="26"/>
      <c r="Q393" s="26"/>
    </row>
    <row r="394">
      <c r="O394" s="25"/>
      <c r="P394" s="26"/>
      <c r="Q394" s="26"/>
    </row>
    <row r="395">
      <c r="O395" s="25"/>
      <c r="P395" s="26"/>
      <c r="Q395" s="26"/>
    </row>
    <row r="396">
      <c r="O396" s="25"/>
      <c r="P396" s="26"/>
      <c r="Q396" s="26"/>
    </row>
    <row r="397">
      <c r="O397" s="25"/>
      <c r="P397" s="26"/>
      <c r="Q397" s="26"/>
    </row>
    <row r="398">
      <c r="O398" s="25"/>
      <c r="P398" s="26"/>
      <c r="Q398" s="26"/>
    </row>
    <row r="399">
      <c r="O399" s="25"/>
      <c r="P399" s="26"/>
      <c r="Q399" s="26"/>
    </row>
    <row r="400">
      <c r="O400" s="25"/>
      <c r="P400" s="26"/>
      <c r="Q400" s="26"/>
    </row>
    <row r="401">
      <c r="O401" s="25"/>
      <c r="P401" s="26"/>
      <c r="Q401" s="26"/>
    </row>
    <row r="402">
      <c r="O402" s="25"/>
      <c r="P402" s="26"/>
      <c r="Q402" s="26"/>
    </row>
    <row r="403">
      <c r="O403" s="25"/>
      <c r="P403" s="26"/>
      <c r="Q403" s="26"/>
    </row>
    <row r="404">
      <c r="O404" s="25"/>
      <c r="P404" s="26"/>
      <c r="Q404" s="26"/>
    </row>
    <row r="405">
      <c r="O405" s="25"/>
      <c r="P405" s="26"/>
      <c r="Q405" s="26"/>
    </row>
    <row r="406">
      <c r="O406" s="25"/>
      <c r="P406" s="26"/>
      <c r="Q406" s="26"/>
    </row>
    <row r="407">
      <c r="O407" s="25"/>
      <c r="P407" s="26"/>
      <c r="Q407" s="26"/>
    </row>
    <row r="408">
      <c r="O408" s="25"/>
      <c r="P408" s="26"/>
      <c r="Q408" s="26"/>
    </row>
    <row r="409">
      <c r="O409" s="25"/>
      <c r="P409" s="26"/>
      <c r="Q409" s="26"/>
    </row>
    <row r="410">
      <c r="O410" s="25"/>
      <c r="P410" s="26"/>
      <c r="Q410" s="26"/>
    </row>
    <row r="411">
      <c r="O411" s="25"/>
      <c r="P411" s="26"/>
      <c r="Q411" s="26"/>
    </row>
    <row r="412">
      <c r="O412" s="25"/>
      <c r="P412" s="26"/>
      <c r="Q412" s="26"/>
    </row>
    <row r="413">
      <c r="O413" s="25"/>
      <c r="P413" s="26"/>
      <c r="Q413" s="26"/>
    </row>
    <row r="414">
      <c r="O414" s="25"/>
      <c r="P414" s="26"/>
      <c r="Q414" s="26"/>
    </row>
    <row r="415">
      <c r="O415" s="25"/>
      <c r="P415" s="26"/>
      <c r="Q415" s="26"/>
    </row>
    <row r="416">
      <c r="O416" s="25"/>
      <c r="P416" s="26"/>
      <c r="Q416" s="26"/>
    </row>
    <row r="417">
      <c r="O417" s="25"/>
      <c r="P417" s="26"/>
      <c r="Q417" s="26"/>
    </row>
    <row r="418">
      <c r="O418" s="25"/>
      <c r="P418" s="26"/>
      <c r="Q418" s="26"/>
    </row>
    <row r="419">
      <c r="O419" s="25"/>
      <c r="P419" s="26"/>
      <c r="Q419" s="26"/>
    </row>
    <row r="420">
      <c r="O420" s="25"/>
      <c r="P420" s="26"/>
      <c r="Q420" s="26"/>
    </row>
    <row r="421">
      <c r="O421" s="25"/>
      <c r="P421" s="26"/>
      <c r="Q421" s="26"/>
    </row>
    <row r="422">
      <c r="O422" s="25"/>
      <c r="P422" s="26"/>
      <c r="Q422" s="26"/>
    </row>
    <row r="423">
      <c r="O423" s="25"/>
      <c r="P423" s="26"/>
      <c r="Q423" s="26"/>
    </row>
    <row r="424">
      <c r="O424" s="25"/>
      <c r="P424" s="26"/>
      <c r="Q424" s="26"/>
    </row>
    <row r="425">
      <c r="O425" s="25"/>
      <c r="P425" s="26"/>
      <c r="Q425" s="26"/>
    </row>
    <row r="426">
      <c r="O426" s="25"/>
      <c r="P426" s="26"/>
      <c r="Q426" s="26"/>
    </row>
    <row r="427">
      <c r="O427" s="25"/>
      <c r="P427" s="26"/>
      <c r="Q427" s="26"/>
    </row>
    <row r="428">
      <c r="O428" s="25"/>
      <c r="P428" s="26"/>
      <c r="Q428" s="26"/>
    </row>
    <row r="429">
      <c r="O429" s="25"/>
      <c r="P429" s="26"/>
      <c r="Q429" s="26"/>
    </row>
    <row r="430">
      <c r="O430" s="25"/>
      <c r="P430" s="26"/>
      <c r="Q430" s="26"/>
    </row>
    <row r="431">
      <c r="O431" s="25"/>
      <c r="P431" s="26"/>
      <c r="Q431" s="26"/>
    </row>
    <row r="432">
      <c r="O432" s="25"/>
      <c r="P432" s="26"/>
      <c r="Q432" s="26"/>
    </row>
    <row r="433">
      <c r="O433" s="25"/>
      <c r="P433" s="26"/>
      <c r="Q433" s="26"/>
    </row>
    <row r="434">
      <c r="O434" s="25"/>
      <c r="P434" s="26"/>
      <c r="Q434" s="26"/>
    </row>
    <row r="435">
      <c r="O435" s="25"/>
      <c r="P435" s="26"/>
      <c r="Q435" s="26"/>
    </row>
    <row r="436">
      <c r="O436" s="25"/>
      <c r="P436" s="26"/>
      <c r="Q436" s="26"/>
    </row>
    <row r="437">
      <c r="O437" s="25"/>
      <c r="P437" s="26"/>
      <c r="Q437" s="26"/>
    </row>
    <row r="438">
      <c r="O438" s="25"/>
      <c r="P438" s="26"/>
      <c r="Q438" s="26"/>
    </row>
    <row r="439">
      <c r="O439" s="25"/>
      <c r="P439" s="26"/>
      <c r="Q439" s="26"/>
    </row>
    <row r="440">
      <c r="O440" s="25"/>
      <c r="P440" s="26"/>
      <c r="Q440" s="26"/>
    </row>
    <row r="441">
      <c r="O441" s="25"/>
      <c r="P441" s="26"/>
      <c r="Q441" s="26"/>
    </row>
    <row r="442">
      <c r="O442" s="25"/>
      <c r="P442" s="26"/>
      <c r="Q442" s="26"/>
    </row>
    <row r="443">
      <c r="O443" s="25"/>
      <c r="P443" s="26"/>
      <c r="Q443" s="26"/>
    </row>
    <row r="444">
      <c r="O444" s="25"/>
      <c r="P444" s="26"/>
      <c r="Q444" s="26"/>
    </row>
    <row r="445">
      <c r="O445" s="25"/>
      <c r="P445" s="26"/>
      <c r="Q445" s="26"/>
    </row>
    <row r="446">
      <c r="O446" s="25"/>
      <c r="P446" s="26"/>
      <c r="Q446" s="26"/>
    </row>
    <row r="447">
      <c r="O447" s="25"/>
      <c r="P447" s="26"/>
      <c r="Q447" s="26"/>
    </row>
    <row r="448">
      <c r="O448" s="25"/>
      <c r="P448" s="26"/>
      <c r="Q448" s="26"/>
    </row>
    <row r="449">
      <c r="O449" s="25"/>
      <c r="P449" s="26"/>
      <c r="Q449" s="26"/>
    </row>
    <row r="450">
      <c r="O450" s="25"/>
      <c r="P450" s="26"/>
      <c r="Q450" s="26"/>
    </row>
    <row r="451">
      <c r="O451" s="25"/>
      <c r="P451" s="26"/>
      <c r="Q451" s="26"/>
    </row>
    <row r="452">
      <c r="O452" s="25"/>
      <c r="P452" s="26"/>
      <c r="Q452" s="26"/>
    </row>
    <row r="453">
      <c r="O453" s="25"/>
      <c r="P453" s="26"/>
      <c r="Q453" s="26"/>
    </row>
    <row r="454">
      <c r="O454" s="25"/>
      <c r="P454" s="26"/>
      <c r="Q454" s="26"/>
    </row>
    <row r="455">
      <c r="O455" s="25"/>
      <c r="P455" s="26"/>
      <c r="Q455" s="26"/>
    </row>
    <row r="456">
      <c r="O456" s="25"/>
      <c r="P456" s="26"/>
      <c r="Q456" s="26"/>
    </row>
    <row r="457">
      <c r="O457" s="25"/>
      <c r="P457" s="26"/>
      <c r="Q457" s="26"/>
    </row>
    <row r="458">
      <c r="O458" s="25"/>
      <c r="P458" s="26"/>
      <c r="Q458" s="26"/>
    </row>
    <row r="459">
      <c r="O459" s="25"/>
      <c r="P459" s="26"/>
      <c r="Q459" s="26"/>
    </row>
    <row r="460">
      <c r="O460" s="25"/>
      <c r="P460" s="26"/>
      <c r="Q460" s="26"/>
    </row>
    <row r="461">
      <c r="O461" s="25"/>
      <c r="P461" s="26"/>
      <c r="Q461" s="26"/>
    </row>
    <row r="462">
      <c r="O462" s="25"/>
      <c r="P462" s="26"/>
      <c r="Q462" s="26"/>
    </row>
    <row r="463">
      <c r="O463" s="25"/>
      <c r="P463" s="26"/>
      <c r="Q463" s="26"/>
    </row>
    <row r="464">
      <c r="O464" s="25"/>
      <c r="P464" s="26"/>
      <c r="Q464" s="26"/>
    </row>
    <row r="465">
      <c r="O465" s="25"/>
      <c r="P465" s="26"/>
      <c r="Q465" s="26"/>
    </row>
    <row r="466">
      <c r="O466" s="25"/>
      <c r="P466" s="26"/>
      <c r="Q466" s="26"/>
    </row>
    <row r="467">
      <c r="O467" s="25"/>
      <c r="P467" s="26"/>
      <c r="Q467" s="26"/>
    </row>
    <row r="468">
      <c r="O468" s="25"/>
      <c r="P468" s="26"/>
      <c r="Q468" s="26"/>
    </row>
    <row r="469">
      <c r="O469" s="25"/>
      <c r="P469" s="26"/>
      <c r="Q469" s="26"/>
    </row>
    <row r="470">
      <c r="O470" s="25"/>
      <c r="P470" s="26"/>
      <c r="Q470" s="26"/>
    </row>
    <row r="471">
      <c r="O471" s="25"/>
      <c r="P471" s="26"/>
      <c r="Q471" s="26"/>
    </row>
    <row r="472">
      <c r="O472" s="25"/>
      <c r="P472" s="26"/>
      <c r="Q472" s="26"/>
    </row>
    <row r="473">
      <c r="O473" s="25"/>
      <c r="P473" s="26"/>
      <c r="Q473" s="26"/>
    </row>
    <row r="474">
      <c r="O474" s="25"/>
      <c r="P474" s="26"/>
      <c r="Q474" s="26"/>
    </row>
    <row r="475">
      <c r="O475" s="25"/>
      <c r="P475" s="26"/>
      <c r="Q475" s="26"/>
    </row>
    <row r="476">
      <c r="O476" s="25"/>
      <c r="P476" s="26"/>
      <c r="Q476" s="26"/>
    </row>
    <row r="477">
      <c r="O477" s="25"/>
      <c r="P477" s="26"/>
      <c r="Q477" s="26"/>
    </row>
    <row r="478">
      <c r="O478" s="25"/>
      <c r="P478" s="26"/>
      <c r="Q478" s="26"/>
    </row>
    <row r="479">
      <c r="O479" s="25"/>
      <c r="P479" s="26"/>
      <c r="Q479" s="26"/>
    </row>
    <row r="480">
      <c r="O480" s="25"/>
      <c r="P480" s="26"/>
      <c r="Q480" s="26"/>
    </row>
    <row r="481">
      <c r="O481" s="25"/>
      <c r="P481" s="26"/>
      <c r="Q481" s="26"/>
    </row>
    <row r="482">
      <c r="O482" s="25"/>
      <c r="P482" s="26"/>
      <c r="Q482" s="26"/>
    </row>
    <row r="483">
      <c r="O483" s="25"/>
      <c r="P483" s="26"/>
      <c r="Q483" s="26"/>
    </row>
    <row r="484">
      <c r="O484" s="25"/>
      <c r="P484" s="26"/>
      <c r="Q484" s="26"/>
    </row>
    <row r="485">
      <c r="O485" s="25"/>
      <c r="P485" s="26"/>
      <c r="Q485" s="26"/>
    </row>
    <row r="486">
      <c r="O486" s="25"/>
      <c r="P486" s="26"/>
      <c r="Q486" s="26"/>
    </row>
    <row r="487">
      <c r="O487" s="25"/>
      <c r="P487" s="26"/>
      <c r="Q487" s="26"/>
    </row>
    <row r="488">
      <c r="O488" s="25"/>
      <c r="P488" s="26"/>
      <c r="Q488" s="26"/>
    </row>
    <row r="489">
      <c r="O489" s="25"/>
      <c r="P489" s="26"/>
      <c r="Q489" s="26"/>
    </row>
    <row r="490">
      <c r="O490" s="25"/>
      <c r="P490" s="26"/>
      <c r="Q490" s="26"/>
    </row>
    <row r="491">
      <c r="O491" s="25"/>
      <c r="P491" s="26"/>
      <c r="Q491" s="26"/>
    </row>
    <row r="492">
      <c r="O492" s="25"/>
      <c r="P492" s="26"/>
      <c r="Q492" s="26"/>
    </row>
    <row r="493">
      <c r="O493" s="25"/>
      <c r="P493" s="26"/>
      <c r="Q493" s="26"/>
    </row>
    <row r="494">
      <c r="O494" s="25"/>
      <c r="P494" s="26"/>
      <c r="Q494" s="26"/>
    </row>
    <row r="495">
      <c r="O495" s="25"/>
      <c r="P495" s="26"/>
      <c r="Q495" s="26"/>
    </row>
    <row r="496">
      <c r="O496" s="25"/>
      <c r="P496" s="26"/>
      <c r="Q496" s="26"/>
    </row>
    <row r="497">
      <c r="O497" s="25"/>
      <c r="P497" s="26"/>
      <c r="Q497" s="26"/>
    </row>
    <row r="498">
      <c r="O498" s="25"/>
      <c r="P498" s="26"/>
      <c r="Q498" s="26"/>
    </row>
    <row r="499">
      <c r="O499" s="25"/>
      <c r="P499" s="26"/>
      <c r="Q499" s="26"/>
    </row>
    <row r="500">
      <c r="O500" s="25"/>
      <c r="P500" s="26"/>
      <c r="Q500" s="26"/>
    </row>
    <row r="501">
      <c r="O501" s="25"/>
      <c r="P501" s="26"/>
      <c r="Q501" s="26"/>
    </row>
    <row r="502">
      <c r="O502" s="25"/>
      <c r="P502" s="26"/>
      <c r="Q502" s="26"/>
    </row>
    <row r="503">
      <c r="O503" s="25"/>
      <c r="P503" s="26"/>
      <c r="Q503" s="26"/>
    </row>
    <row r="504">
      <c r="O504" s="25"/>
      <c r="P504" s="26"/>
      <c r="Q504" s="26"/>
    </row>
    <row r="505">
      <c r="O505" s="25"/>
      <c r="P505" s="26"/>
      <c r="Q505" s="26"/>
    </row>
    <row r="506">
      <c r="O506" s="25"/>
      <c r="P506" s="26"/>
      <c r="Q506" s="26"/>
    </row>
    <row r="507">
      <c r="O507" s="25"/>
      <c r="P507" s="26"/>
      <c r="Q507" s="26"/>
    </row>
    <row r="508">
      <c r="O508" s="25"/>
      <c r="P508" s="26"/>
      <c r="Q508" s="26"/>
    </row>
    <row r="509">
      <c r="O509" s="25"/>
      <c r="P509" s="26"/>
      <c r="Q509" s="26"/>
    </row>
    <row r="510">
      <c r="O510" s="25"/>
      <c r="P510" s="26"/>
      <c r="Q510" s="26"/>
    </row>
    <row r="511">
      <c r="O511" s="25"/>
      <c r="P511" s="26"/>
      <c r="Q511" s="26"/>
    </row>
    <row r="512">
      <c r="O512" s="25"/>
      <c r="P512" s="26"/>
      <c r="Q512" s="26"/>
    </row>
    <row r="513">
      <c r="O513" s="25"/>
      <c r="P513" s="26"/>
      <c r="Q513" s="26"/>
    </row>
    <row r="514">
      <c r="O514" s="25"/>
      <c r="P514" s="26"/>
      <c r="Q514" s="26"/>
    </row>
    <row r="515">
      <c r="O515" s="25"/>
      <c r="P515" s="26"/>
      <c r="Q515" s="26"/>
    </row>
    <row r="516">
      <c r="O516" s="25"/>
      <c r="P516" s="26"/>
      <c r="Q516" s="26"/>
    </row>
    <row r="517">
      <c r="O517" s="25"/>
      <c r="P517" s="26"/>
      <c r="Q517" s="26"/>
    </row>
    <row r="518">
      <c r="O518" s="25"/>
      <c r="P518" s="26"/>
      <c r="Q518" s="26"/>
    </row>
    <row r="519">
      <c r="O519" s="25"/>
      <c r="P519" s="26"/>
      <c r="Q519" s="26"/>
    </row>
    <row r="520">
      <c r="O520" s="25"/>
      <c r="P520" s="26"/>
      <c r="Q520" s="26"/>
    </row>
    <row r="521">
      <c r="O521" s="25"/>
      <c r="P521" s="26"/>
      <c r="Q521" s="26"/>
    </row>
    <row r="522">
      <c r="O522" s="25"/>
      <c r="P522" s="26"/>
      <c r="Q522" s="26"/>
    </row>
    <row r="523">
      <c r="O523" s="25"/>
      <c r="P523" s="26"/>
      <c r="Q523" s="26"/>
    </row>
    <row r="524">
      <c r="O524" s="25"/>
      <c r="P524" s="26"/>
      <c r="Q524" s="26"/>
    </row>
    <row r="525">
      <c r="O525" s="25"/>
      <c r="P525" s="26"/>
      <c r="Q525" s="26"/>
    </row>
    <row r="526">
      <c r="O526" s="25"/>
      <c r="P526" s="26"/>
      <c r="Q526" s="26"/>
    </row>
    <row r="527">
      <c r="O527" s="25"/>
      <c r="P527" s="26"/>
      <c r="Q527" s="26"/>
    </row>
    <row r="528">
      <c r="O528" s="25"/>
      <c r="P528" s="26"/>
      <c r="Q528" s="26"/>
    </row>
    <row r="529">
      <c r="O529" s="25"/>
      <c r="P529" s="26"/>
      <c r="Q529" s="26"/>
    </row>
    <row r="530">
      <c r="O530" s="25"/>
      <c r="P530" s="26"/>
      <c r="Q530" s="26"/>
    </row>
    <row r="531">
      <c r="O531" s="25"/>
      <c r="P531" s="26"/>
      <c r="Q531" s="26"/>
    </row>
    <row r="532">
      <c r="O532" s="25"/>
      <c r="P532" s="26"/>
      <c r="Q532" s="26"/>
    </row>
    <row r="533">
      <c r="O533" s="25"/>
      <c r="P533" s="26"/>
      <c r="Q533" s="26"/>
    </row>
    <row r="534">
      <c r="O534" s="25"/>
      <c r="P534" s="26"/>
      <c r="Q534" s="26"/>
    </row>
    <row r="535">
      <c r="O535" s="25"/>
      <c r="P535" s="26"/>
      <c r="Q535" s="26"/>
    </row>
    <row r="536">
      <c r="O536" s="25"/>
      <c r="P536" s="26"/>
      <c r="Q536" s="26"/>
    </row>
    <row r="537">
      <c r="O537" s="25"/>
      <c r="P537" s="26"/>
      <c r="Q537" s="26"/>
    </row>
    <row r="538">
      <c r="O538" s="25"/>
      <c r="P538" s="26"/>
      <c r="Q538" s="26"/>
    </row>
    <row r="539">
      <c r="O539" s="25"/>
      <c r="P539" s="26"/>
      <c r="Q539" s="26"/>
    </row>
    <row r="540">
      <c r="O540" s="25"/>
      <c r="P540" s="26"/>
      <c r="Q540" s="26"/>
    </row>
    <row r="541">
      <c r="O541" s="25"/>
      <c r="P541" s="26"/>
      <c r="Q541" s="26"/>
    </row>
    <row r="542">
      <c r="O542" s="25"/>
      <c r="P542" s="26"/>
      <c r="Q542" s="26"/>
    </row>
    <row r="543">
      <c r="O543" s="25"/>
      <c r="P543" s="26"/>
      <c r="Q543" s="26"/>
    </row>
    <row r="544">
      <c r="O544" s="25"/>
      <c r="P544" s="26"/>
      <c r="Q544" s="26"/>
    </row>
    <row r="545">
      <c r="O545" s="25"/>
      <c r="P545" s="26"/>
      <c r="Q545" s="26"/>
    </row>
    <row r="546">
      <c r="O546" s="25"/>
      <c r="P546" s="26"/>
      <c r="Q546" s="26"/>
    </row>
    <row r="547">
      <c r="O547" s="25"/>
      <c r="P547" s="26"/>
      <c r="Q547" s="26"/>
    </row>
    <row r="548">
      <c r="O548" s="25"/>
      <c r="P548" s="26"/>
      <c r="Q548" s="26"/>
    </row>
    <row r="549">
      <c r="O549" s="25"/>
      <c r="P549" s="26"/>
      <c r="Q549" s="26"/>
    </row>
    <row r="550">
      <c r="O550" s="25"/>
      <c r="P550" s="26"/>
      <c r="Q550" s="26"/>
    </row>
    <row r="551">
      <c r="O551" s="25"/>
      <c r="P551" s="26"/>
      <c r="Q551" s="26"/>
    </row>
    <row r="552">
      <c r="O552" s="25"/>
      <c r="P552" s="26"/>
      <c r="Q552" s="26"/>
    </row>
    <row r="553">
      <c r="O553" s="25"/>
      <c r="P553" s="26"/>
      <c r="Q553" s="26"/>
    </row>
    <row r="554">
      <c r="O554" s="25"/>
      <c r="P554" s="26"/>
      <c r="Q554" s="26"/>
    </row>
    <row r="555">
      <c r="O555" s="25"/>
      <c r="P555" s="26"/>
      <c r="Q555" s="26"/>
    </row>
    <row r="556">
      <c r="O556" s="25"/>
      <c r="P556" s="26"/>
      <c r="Q556" s="26"/>
    </row>
    <row r="557">
      <c r="O557" s="25"/>
      <c r="P557" s="26"/>
      <c r="Q557" s="26"/>
    </row>
    <row r="558">
      <c r="O558" s="25"/>
      <c r="P558" s="26"/>
      <c r="Q558" s="26"/>
    </row>
    <row r="559">
      <c r="O559" s="25"/>
      <c r="P559" s="26"/>
      <c r="Q559" s="26"/>
    </row>
    <row r="560">
      <c r="O560" s="25"/>
      <c r="P560" s="26"/>
      <c r="Q560" s="26"/>
    </row>
    <row r="561">
      <c r="O561" s="25"/>
      <c r="P561" s="26"/>
      <c r="Q561" s="26"/>
    </row>
    <row r="562">
      <c r="O562" s="25"/>
      <c r="P562" s="26"/>
      <c r="Q562" s="26"/>
    </row>
    <row r="563">
      <c r="O563" s="25"/>
      <c r="P563" s="26"/>
      <c r="Q563" s="26"/>
    </row>
    <row r="564">
      <c r="O564" s="25"/>
      <c r="P564" s="26"/>
      <c r="Q564" s="26"/>
    </row>
    <row r="565">
      <c r="O565" s="25"/>
      <c r="P565" s="26"/>
      <c r="Q565" s="26"/>
    </row>
    <row r="566">
      <c r="O566" s="25"/>
      <c r="P566" s="26"/>
      <c r="Q566" s="26"/>
    </row>
    <row r="567">
      <c r="O567" s="25"/>
      <c r="P567" s="26"/>
      <c r="Q567" s="26"/>
    </row>
    <row r="568">
      <c r="O568" s="25"/>
      <c r="P568" s="26"/>
      <c r="Q568" s="26"/>
    </row>
    <row r="569">
      <c r="O569" s="25"/>
      <c r="P569" s="26"/>
      <c r="Q569" s="26"/>
    </row>
    <row r="570">
      <c r="O570" s="25"/>
      <c r="P570" s="26"/>
      <c r="Q570" s="26"/>
    </row>
    <row r="571">
      <c r="O571" s="25"/>
      <c r="P571" s="26"/>
      <c r="Q571" s="26"/>
    </row>
    <row r="572">
      <c r="O572" s="25"/>
      <c r="P572" s="26"/>
      <c r="Q572" s="26"/>
    </row>
    <row r="573">
      <c r="O573" s="25"/>
      <c r="P573" s="26"/>
      <c r="Q573" s="26"/>
    </row>
    <row r="574">
      <c r="O574" s="25"/>
      <c r="P574" s="26"/>
      <c r="Q574" s="26"/>
    </row>
    <row r="575">
      <c r="O575" s="25"/>
      <c r="P575" s="26"/>
      <c r="Q575" s="26"/>
    </row>
    <row r="576">
      <c r="O576" s="25"/>
      <c r="P576" s="26"/>
      <c r="Q576" s="26"/>
    </row>
    <row r="577">
      <c r="O577" s="25"/>
      <c r="P577" s="26"/>
      <c r="Q577" s="26"/>
    </row>
    <row r="578">
      <c r="O578" s="25"/>
      <c r="P578" s="26"/>
      <c r="Q578" s="26"/>
    </row>
    <row r="579">
      <c r="O579" s="25"/>
      <c r="P579" s="26"/>
      <c r="Q579" s="26"/>
    </row>
    <row r="580">
      <c r="O580" s="25"/>
      <c r="P580" s="26"/>
      <c r="Q580" s="26"/>
    </row>
    <row r="581">
      <c r="O581" s="25"/>
      <c r="P581" s="26"/>
      <c r="Q581" s="26"/>
    </row>
    <row r="582">
      <c r="O582" s="25"/>
      <c r="P582" s="26"/>
      <c r="Q582" s="26"/>
    </row>
    <row r="583">
      <c r="O583" s="25"/>
      <c r="P583" s="26"/>
      <c r="Q583" s="26"/>
    </row>
    <row r="584">
      <c r="O584" s="25"/>
      <c r="P584" s="26"/>
      <c r="Q584" s="26"/>
    </row>
    <row r="585">
      <c r="O585" s="25"/>
      <c r="P585" s="26"/>
      <c r="Q585" s="26"/>
    </row>
    <row r="586">
      <c r="O586" s="25"/>
      <c r="P586" s="26"/>
      <c r="Q586" s="26"/>
    </row>
    <row r="587">
      <c r="O587" s="25"/>
      <c r="P587" s="26"/>
      <c r="Q587" s="26"/>
    </row>
    <row r="588">
      <c r="O588" s="25"/>
      <c r="P588" s="26"/>
      <c r="Q588" s="26"/>
    </row>
    <row r="589">
      <c r="O589" s="25"/>
      <c r="P589" s="26"/>
      <c r="Q589" s="26"/>
    </row>
    <row r="590">
      <c r="O590" s="25"/>
      <c r="P590" s="26"/>
      <c r="Q590" s="26"/>
    </row>
    <row r="591">
      <c r="O591" s="25"/>
      <c r="P591" s="26"/>
      <c r="Q591" s="26"/>
    </row>
    <row r="592">
      <c r="O592" s="25"/>
      <c r="P592" s="26"/>
      <c r="Q592" s="26"/>
    </row>
    <row r="593">
      <c r="O593" s="25"/>
      <c r="P593" s="26"/>
      <c r="Q593" s="26"/>
    </row>
    <row r="594">
      <c r="O594" s="25"/>
      <c r="P594" s="26"/>
      <c r="Q594" s="26"/>
    </row>
    <row r="595">
      <c r="O595" s="25"/>
      <c r="P595" s="26"/>
      <c r="Q595" s="26"/>
    </row>
    <row r="596">
      <c r="O596" s="25"/>
      <c r="P596" s="26"/>
      <c r="Q596" s="26"/>
    </row>
    <row r="597">
      <c r="O597" s="25"/>
      <c r="P597" s="26"/>
      <c r="Q597" s="26"/>
    </row>
    <row r="598">
      <c r="O598" s="25"/>
      <c r="P598" s="26"/>
      <c r="Q598" s="26"/>
    </row>
    <row r="599">
      <c r="O599" s="25"/>
      <c r="P599" s="26"/>
      <c r="Q599" s="26"/>
    </row>
    <row r="600">
      <c r="O600" s="25"/>
      <c r="P600" s="26"/>
      <c r="Q600" s="26"/>
    </row>
    <row r="601">
      <c r="O601" s="25"/>
      <c r="P601" s="26"/>
      <c r="Q601" s="26"/>
    </row>
    <row r="602">
      <c r="O602" s="25"/>
      <c r="P602" s="26"/>
      <c r="Q602" s="26"/>
    </row>
    <row r="603">
      <c r="O603" s="25"/>
      <c r="P603" s="26"/>
      <c r="Q603" s="26"/>
    </row>
    <row r="604">
      <c r="O604" s="25"/>
      <c r="P604" s="26"/>
      <c r="Q604" s="26"/>
    </row>
    <row r="605">
      <c r="O605" s="25"/>
      <c r="P605" s="26"/>
      <c r="Q605" s="26"/>
    </row>
    <row r="606">
      <c r="O606" s="25"/>
      <c r="P606" s="26"/>
      <c r="Q606" s="26"/>
    </row>
    <row r="607">
      <c r="O607" s="25"/>
      <c r="P607" s="26"/>
      <c r="Q607" s="26"/>
    </row>
    <row r="608">
      <c r="O608" s="25"/>
      <c r="P608" s="26"/>
      <c r="Q608" s="26"/>
    </row>
    <row r="609">
      <c r="O609" s="25"/>
      <c r="P609" s="26"/>
      <c r="Q609" s="26"/>
    </row>
    <row r="610">
      <c r="O610" s="25"/>
      <c r="P610" s="26"/>
      <c r="Q610" s="26"/>
    </row>
    <row r="611">
      <c r="O611" s="25"/>
      <c r="P611" s="26"/>
      <c r="Q611" s="26"/>
    </row>
    <row r="612">
      <c r="O612" s="25"/>
      <c r="P612" s="26"/>
      <c r="Q612" s="26"/>
    </row>
    <row r="613">
      <c r="O613" s="25"/>
      <c r="P613" s="26"/>
      <c r="Q613" s="26"/>
    </row>
    <row r="614">
      <c r="O614" s="25"/>
      <c r="P614" s="26"/>
      <c r="Q614" s="26"/>
    </row>
    <row r="615">
      <c r="O615" s="25"/>
      <c r="P615" s="26"/>
      <c r="Q615" s="26"/>
    </row>
    <row r="616">
      <c r="O616" s="25"/>
      <c r="P616" s="26"/>
      <c r="Q616" s="26"/>
    </row>
    <row r="617">
      <c r="O617" s="25"/>
      <c r="P617" s="26"/>
      <c r="Q617" s="26"/>
    </row>
    <row r="618">
      <c r="O618" s="25"/>
      <c r="P618" s="26"/>
      <c r="Q618" s="26"/>
    </row>
    <row r="619">
      <c r="O619" s="25"/>
      <c r="P619" s="26"/>
      <c r="Q619" s="26"/>
    </row>
    <row r="620">
      <c r="O620" s="25"/>
      <c r="P620" s="26"/>
      <c r="Q620" s="26"/>
    </row>
    <row r="621">
      <c r="O621" s="25"/>
      <c r="P621" s="26"/>
      <c r="Q621" s="26"/>
    </row>
    <row r="622">
      <c r="O622" s="25"/>
      <c r="P622" s="26"/>
      <c r="Q622" s="26"/>
    </row>
    <row r="623">
      <c r="O623" s="25"/>
      <c r="P623" s="26"/>
      <c r="Q623" s="26"/>
    </row>
    <row r="624">
      <c r="O624" s="25"/>
      <c r="P624" s="26"/>
      <c r="Q624" s="26"/>
    </row>
    <row r="625">
      <c r="O625" s="25"/>
      <c r="P625" s="26"/>
      <c r="Q625" s="26"/>
    </row>
    <row r="626">
      <c r="O626" s="25"/>
      <c r="P626" s="26"/>
      <c r="Q626" s="26"/>
    </row>
    <row r="627">
      <c r="O627" s="25"/>
      <c r="P627" s="26"/>
      <c r="Q627" s="26"/>
    </row>
    <row r="628">
      <c r="O628" s="25"/>
      <c r="P628" s="26"/>
      <c r="Q628" s="26"/>
    </row>
    <row r="629">
      <c r="O629" s="25"/>
      <c r="P629" s="26"/>
      <c r="Q629" s="26"/>
    </row>
    <row r="630">
      <c r="O630" s="25"/>
      <c r="P630" s="26"/>
      <c r="Q630" s="26"/>
    </row>
    <row r="631">
      <c r="O631" s="25"/>
      <c r="P631" s="26"/>
      <c r="Q631" s="26"/>
    </row>
    <row r="632">
      <c r="O632" s="25"/>
      <c r="P632" s="26"/>
      <c r="Q632" s="26"/>
    </row>
    <row r="633">
      <c r="O633" s="25"/>
      <c r="P633" s="26"/>
      <c r="Q633" s="26"/>
    </row>
    <row r="634">
      <c r="O634" s="25"/>
      <c r="P634" s="26"/>
      <c r="Q634" s="26"/>
    </row>
    <row r="635">
      <c r="O635" s="25"/>
      <c r="P635" s="26"/>
      <c r="Q635" s="26"/>
    </row>
    <row r="636">
      <c r="O636" s="25"/>
      <c r="P636" s="26"/>
      <c r="Q636" s="26"/>
    </row>
    <row r="637">
      <c r="O637" s="25"/>
      <c r="P637" s="26"/>
      <c r="Q637" s="26"/>
    </row>
    <row r="638">
      <c r="O638" s="25"/>
      <c r="P638" s="26"/>
      <c r="Q638" s="26"/>
    </row>
    <row r="639">
      <c r="O639" s="25"/>
      <c r="P639" s="26"/>
      <c r="Q639" s="26"/>
    </row>
    <row r="640">
      <c r="O640" s="25"/>
      <c r="P640" s="26"/>
      <c r="Q640" s="26"/>
    </row>
    <row r="641">
      <c r="O641" s="25"/>
      <c r="P641" s="26"/>
      <c r="Q641" s="26"/>
    </row>
    <row r="642">
      <c r="O642" s="25"/>
      <c r="P642" s="26"/>
      <c r="Q642" s="26"/>
    </row>
    <row r="643">
      <c r="O643" s="25"/>
      <c r="P643" s="26"/>
      <c r="Q643" s="26"/>
    </row>
    <row r="644">
      <c r="O644" s="25"/>
      <c r="P644" s="26"/>
      <c r="Q644" s="26"/>
    </row>
    <row r="645">
      <c r="O645" s="25"/>
      <c r="P645" s="26"/>
      <c r="Q645" s="26"/>
    </row>
    <row r="646">
      <c r="O646" s="25"/>
      <c r="P646" s="26"/>
      <c r="Q646" s="26"/>
    </row>
    <row r="647">
      <c r="O647" s="25"/>
      <c r="P647" s="26"/>
      <c r="Q647" s="26"/>
    </row>
    <row r="648">
      <c r="O648" s="25"/>
      <c r="P648" s="26"/>
      <c r="Q648" s="26"/>
    </row>
    <row r="649">
      <c r="O649" s="25"/>
      <c r="P649" s="26"/>
      <c r="Q649" s="26"/>
    </row>
    <row r="650">
      <c r="O650" s="25"/>
      <c r="P650" s="26"/>
      <c r="Q650" s="26"/>
    </row>
    <row r="651">
      <c r="O651" s="25"/>
      <c r="P651" s="26"/>
      <c r="Q651" s="26"/>
    </row>
    <row r="652">
      <c r="O652" s="25"/>
      <c r="P652" s="26"/>
      <c r="Q652" s="26"/>
    </row>
    <row r="653">
      <c r="O653" s="25"/>
      <c r="P653" s="26"/>
      <c r="Q653" s="26"/>
    </row>
    <row r="654">
      <c r="O654" s="25"/>
      <c r="P654" s="26"/>
      <c r="Q654" s="26"/>
    </row>
    <row r="655">
      <c r="O655" s="25"/>
      <c r="P655" s="26"/>
      <c r="Q655" s="26"/>
    </row>
    <row r="656">
      <c r="O656" s="25"/>
      <c r="P656" s="26"/>
      <c r="Q656" s="26"/>
    </row>
    <row r="657">
      <c r="O657" s="25"/>
      <c r="P657" s="26"/>
      <c r="Q657" s="26"/>
    </row>
    <row r="658">
      <c r="O658" s="25"/>
      <c r="P658" s="26"/>
      <c r="Q658" s="26"/>
    </row>
    <row r="659">
      <c r="O659" s="25"/>
      <c r="P659" s="26"/>
      <c r="Q659" s="26"/>
    </row>
    <row r="660">
      <c r="O660" s="25"/>
      <c r="P660" s="26"/>
      <c r="Q660" s="26"/>
    </row>
    <row r="661">
      <c r="O661" s="25"/>
      <c r="P661" s="26"/>
      <c r="Q661" s="26"/>
    </row>
    <row r="662">
      <c r="O662" s="25"/>
      <c r="P662" s="26"/>
      <c r="Q662" s="26"/>
    </row>
    <row r="663">
      <c r="O663" s="25"/>
      <c r="P663" s="26"/>
      <c r="Q663" s="26"/>
    </row>
    <row r="664">
      <c r="O664" s="25"/>
      <c r="P664" s="26"/>
      <c r="Q664" s="26"/>
    </row>
    <row r="665">
      <c r="O665" s="25"/>
      <c r="P665" s="26"/>
      <c r="Q665" s="26"/>
    </row>
    <row r="666">
      <c r="O666" s="25"/>
      <c r="P666" s="26"/>
      <c r="Q666" s="26"/>
    </row>
    <row r="667">
      <c r="O667" s="25"/>
      <c r="P667" s="26"/>
      <c r="Q667" s="26"/>
    </row>
    <row r="668">
      <c r="O668" s="25"/>
      <c r="P668" s="26"/>
      <c r="Q668" s="26"/>
    </row>
    <row r="669">
      <c r="O669" s="25"/>
      <c r="P669" s="26"/>
      <c r="Q669" s="26"/>
    </row>
    <row r="670">
      <c r="O670" s="25"/>
      <c r="P670" s="26"/>
      <c r="Q670" s="26"/>
    </row>
    <row r="671">
      <c r="O671" s="25"/>
      <c r="P671" s="26"/>
      <c r="Q671" s="26"/>
    </row>
    <row r="672">
      <c r="O672" s="25"/>
      <c r="P672" s="26"/>
      <c r="Q672" s="26"/>
    </row>
    <row r="673">
      <c r="O673" s="25"/>
      <c r="P673" s="26"/>
      <c r="Q673" s="26"/>
    </row>
    <row r="674">
      <c r="O674" s="25"/>
      <c r="P674" s="26"/>
      <c r="Q674" s="26"/>
    </row>
    <row r="675">
      <c r="O675" s="25"/>
      <c r="P675" s="26"/>
      <c r="Q675" s="26"/>
    </row>
    <row r="676">
      <c r="O676" s="25"/>
      <c r="P676" s="26"/>
      <c r="Q676" s="26"/>
    </row>
    <row r="677">
      <c r="O677" s="25"/>
      <c r="P677" s="26"/>
      <c r="Q677" s="26"/>
    </row>
    <row r="678">
      <c r="O678" s="25"/>
      <c r="P678" s="26"/>
      <c r="Q678" s="26"/>
    </row>
    <row r="679">
      <c r="O679" s="25"/>
      <c r="P679" s="26"/>
      <c r="Q679" s="26"/>
    </row>
    <row r="680">
      <c r="O680" s="25"/>
      <c r="P680" s="26"/>
      <c r="Q680" s="26"/>
    </row>
    <row r="681">
      <c r="O681" s="25"/>
      <c r="P681" s="26"/>
      <c r="Q681" s="26"/>
    </row>
    <row r="682">
      <c r="O682" s="25"/>
      <c r="P682" s="26"/>
      <c r="Q682" s="26"/>
    </row>
    <row r="683">
      <c r="O683" s="25"/>
      <c r="P683" s="26"/>
      <c r="Q683" s="26"/>
    </row>
    <row r="684">
      <c r="O684" s="25"/>
      <c r="P684" s="26"/>
      <c r="Q684" s="26"/>
    </row>
    <row r="685">
      <c r="O685" s="25"/>
      <c r="P685" s="26"/>
      <c r="Q685" s="26"/>
    </row>
    <row r="686">
      <c r="O686" s="25"/>
      <c r="P686" s="26"/>
      <c r="Q686" s="26"/>
    </row>
    <row r="687">
      <c r="O687" s="25"/>
      <c r="P687" s="26"/>
      <c r="Q687" s="26"/>
    </row>
    <row r="688">
      <c r="O688" s="25"/>
      <c r="P688" s="26"/>
      <c r="Q688" s="26"/>
    </row>
    <row r="689">
      <c r="O689" s="25"/>
      <c r="P689" s="26"/>
      <c r="Q689" s="26"/>
    </row>
    <row r="690">
      <c r="O690" s="25"/>
      <c r="P690" s="26"/>
      <c r="Q690" s="26"/>
    </row>
    <row r="691">
      <c r="O691" s="25"/>
      <c r="P691" s="26"/>
      <c r="Q691" s="26"/>
    </row>
    <row r="692">
      <c r="O692" s="25"/>
      <c r="P692" s="26"/>
      <c r="Q692" s="26"/>
    </row>
    <row r="693">
      <c r="O693" s="25"/>
      <c r="P693" s="26"/>
      <c r="Q693" s="26"/>
    </row>
    <row r="694">
      <c r="O694" s="25"/>
      <c r="P694" s="26"/>
      <c r="Q694" s="26"/>
    </row>
    <row r="695">
      <c r="O695" s="25"/>
      <c r="P695" s="26"/>
      <c r="Q695" s="26"/>
    </row>
    <row r="696">
      <c r="O696" s="25"/>
      <c r="P696" s="26"/>
      <c r="Q696" s="26"/>
    </row>
    <row r="697">
      <c r="O697" s="25"/>
      <c r="P697" s="26"/>
      <c r="Q697" s="26"/>
    </row>
    <row r="698">
      <c r="O698" s="25"/>
      <c r="P698" s="26"/>
      <c r="Q698" s="26"/>
    </row>
    <row r="699">
      <c r="O699" s="25"/>
      <c r="P699" s="26"/>
      <c r="Q699" s="26"/>
    </row>
    <row r="700">
      <c r="O700" s="25"/>
      <c r="P700" s="26"/>
      <c r="Q700" s="26"/>
    </row>
    <row r="701">
      <c r="O701" s="25"/>
      <c r="P701" s="26"/>
      <c r="Q701" s="26"/>
    </row>
    <row r="702">
      <c r="O702" s="25"/>
      <c r="P702" s="26"/>
      <c r="Q702" s="26"/>
    </row>
    <row r="703">
      <c r="O703" s="25"/>
      <c r="P703" s="26"/>
      <c r="Q703" s="26"/>
    </row>
    <row r="704">
      <c r="O704" s="25"/>
      <c r="P704" s="26"/>
      <c r="Q704" s="26"/>
    </row>
    <row r="705">
      <c r="O705" s="25"/>
      <c r="P705" s="26"/>
      <c r="Q705" s="26"/>
    </row>
    <row r="706">
      <c r="O706" s="25"/>
      <c r="P706" s="26"/>
      <c r="Q706" s="26"/>
    </row>
    <row r="707">
      <c r="O707" s="25"/>
      <c r="P707" s="26"/>
      <c r="Q707" s="26"/>
    </row>
    <row r="708">
      <c r="O708" s="25"/>
      <c r="P708" s="26"/>
      <c r="Q708" s="26"/>
    </row>
    <row r="709">
      <c r="O709" s="25"/>
      <c r="P709" s="26"/>
      <c r="Q709" s="26"/>
    </row>
    <row r="710">
      <c r="O710" s="25"/>
      <c r="P710" s="26"/>
      <c r="Q710" s="26"/>
    </row>
    <row r="711">
      <c r="O711" s="25"/>
      <c r="P711" s="26"/>
      <c r="Q711" s="26"/>
    </row>
    <row r="712">
      <c r="O712" s="25"/>
      <c r="P712" s="26"/>
      <c r="Q712" s="26"/>
    </row>
    <row r="713">
      <c r="O713" s="25"/>
      <c r="P713" s="26"/>
      <c r="Q713" s="26"/>
    </row>
    <row r="714">
      <c r="O714" s="25"/>
      <c r="P714" s="26"/>
      <c r="Q714" s="26"/>
    </row>
    <row r="715">
      <c r="O715" s="25"/>
      <c r="P715" s="26"/>
      <c r="Q715" s="26"/>
    </row>
    <row r="716">
      <c r="O716" s="25"/>
      <c r="P716" s="26"/>
      <c r="Q716" s="26"/>
    </row>
    <row r="717">
      <c r="O717" s="25"/>
      <c r="P717" s="26"/>
      <c r="Q717" s="26"/>
    </row>
    <row r="718">
      <c r="O718" s="25"/>
      <c r="P718" s="26"/>
      <c r="Q718" s="26"/>
    </row>
    <row r="719">
      <c r="O719" s="25"/>
      <c r="P719" s="26"/>
      <c r="Q719" s="26"/>
    </row>
    <row r="720">
      <c r="O720" s="25"/>
      <c r="P720" s="26"/>
      <c r="Q720" s="26"/>
    </row>
    <row r="721">
      <c r="O721" s="25"/>
      <c r="P721" s="26"/>
      <c r="Q721" s="26"/>
    </row>
    <row r="722">
      <c r="O722" s="25"/>
      <c r="P722" s="26"/>
      <c r="Q722" s="26"/>
    </row>
    <row r="723">
      <c r="O723" s="25"/>
      <c r="P723" s="26"/>
      <c r="Q723" s="26"/>
    </row>
    <row r="724">
      <c r="O724" s="25"/>
      <c r="P724" s="26"/>
      <c r="Q724" s="26"/>
    </row>
    <row r="725">
      <c r="O725" s="25"/>
      <c r="P725" s="26"/>
      <c r="Q725" s="26"/>
    </row>
    <row r="726">
      <c r="O726" s="25"/>
      <c r="P726" s="26"/>
      <c r="Q726" s="26"/>
    </row>
    <row r="727">
      <c r="O727" s="25"/>
      <c r="P727" s="26"/>
      <c r="Q727" s="26"/>
    </row>
    <row r="728">
      <c r="O728" s="25"/>
      <c r="P728" s="26"/>
      <c r="Q728" s="26"/>
    </row>
    <row r="729">
      <c r="O729" s="25"/>
      <c r="P729" s="26"/>
      <c r="Q729" s="26"/>
    </row>
    <row r="730">
      <c r="O730" s="25"/>
      <c r="P730" s="26"/>
      <c r="Q730" s="26"/>
    </row>
    <row r="731">
      <c r="O731" s="25"/>
      <c r="P731" s="26"/>
      <c r="Q731" s="26"/>
    </row>
    <row r="732">
      <c r="O732" s="25"/>
      <c r="P732" s="26"/>
      <c r="Q732" s="26"/>
    </row>
    <row r="733">
      <c r="O733" s="25"/>
      <c r="P733" s="26"/>
      <c r="Q733" s="26"/>
    </row>
    <row r="734">
      <c r="O734" s="25"/>
      <c r="P734" s="26"/>
      <c r="Q734" s="26"/>
    </row>
    <row r="735">
      <c r="O735" s="25"/>
      <c r="P735" s="26"/>
      <c r="Q735" s="26"/>
    </row>
    <row r="736">
      <c r="O736" s="25"/>
      <c r="P736" s="26"/>
      <c r="Q736" s="26"/>
    </row>
    <row r="737">
      <c r="O737" s="25"/>
      <c r="P737" s="26"/>
      <c r="Q737" s="26"/>
    </row>
    <row r="738">
      <c r="O738" s="25"/>
      <c r="P738" s="26"/>
      <c r="Q738" s="26"/>
    </row>
    <row r="739">
      <c r="O739" s="25"/>
      <c r="P739" s="26"/>
      <c r="Q739" s="26"/>
    </row>
    <row r="740">
      <c r="O740" s="25"/>
      <c r="P740" s="26"/>
      <c r="Q740" s="26"/>
    </row>
    <row r="741">
      <c r="O741" s="25"/>
      <c r="P741" s="26"/>
      <c r="Q741" s="26"/>
    </row>
    <row r="742">
      <c r="O742" s="25"/>
      <c r="P742" s="26"/>
      <c r="Q742" s="26"/>
    </row>
    <row r="743">
      <c r="O743" s="25"/>
      <c r="P743" s="26"/>
      <c r="Q743" s="26"/>
    </row>
    <row r="744">
      <c r="O744" s="25"/>
      <c r="P744" s="26"/>
      <c r="Q744" s="26"/>
    </row>
    <row r="745">
      <c r="O745" s="25"/>
      <c r="P745" s="26"/>
      <c r="Q745" s="26"/>
    </row>
    <row r="746">
      <c r="O746" s="25"/>
      <c r="P746" s="26"/>
      <c r="Q746" s="26"/>
    </row>
    <row r="747">
      <c r="O747" s="25"/>
      <c r="P747" s="26"/>
      <c r="Q747" s="26"/>
    </row>
    <row r="748">
      <c r="O748" s="25"/>
      <c r="P748" s="26"/>
      <c r="Q748" s="26"/>
    </row>
    <row r="749">
      <c r="O749" s="25"/>
      <c r="P749" s="26"/>
      <c r="Q749" s="26"/>
    </row>
    <row r="750">
      <c r="O750" s="25"/>
      <c r="P750" s="26"/>
      <c r="Q750" s="26"/>
    </row>
    <row r="751">
      <c r="O751" s="25"/>
      <c r="P751" s="26"/>
      <c r="Q751" s="26"/>
    </row>
    <row r="752">
      <c r="O752" s="25"/>
      <c r="P752" s="26"/>
      <c r="Q752" s="26"/>
    </row>
    <row r="753">
      <c r="O753" s="25"/>
      <c r="P753" s="26"/>
      <c r="Q753" s="26"/>
    </row>
    <row r="754">
      <c r="O754" s="25"/>
      <c r="P754" s="26"/>
      <c r="Q754" s="26"/>
    </row>
    <row r="755">
      <c r="O755" s="25"/>
      <c r="P755" s="26"/>
      <c r="Q755" s="26"/>
    </row>
    <row r="756">
      <c r="O756" s="25"/>
      <c r="P756" s="26"/>
      <c r="Q756" s="26"/>
    </row>
    <row r="757">
      <c r="O757" s="25"/>
      <c r="P757" s="26"/>
      <c r="Q757" s="26"/>
    </row>
    <row r="758">
      <c r="O758" s="25"/>
      <c r="P758" s="26"/>
      <c r="Q758" s="26"/>
    </row>
    <row r="759">
      <c r="O759" s="25"/>
      <c r="P759" s="26"/>
      <c r="Q759" s="26"/>
    </row>
    <row r="760">
      <c r="O760" s="25"/>
      <c r="P760" s="26"/>
      <c r="Q760" s="26"/>
    </row>
    <row r="761">
      <c r="O761" s="25"/>
      <c r="P761" s="26"/>
      <c r="Q761" s="26"/>
    </row>
    <row r="762">
      <c r="O762" s="25"/>
      <c r="P762" s="26"/>
      <c r="Q762" s="26"/>
    </row>
    <row r="763">
      <c r="O763" s="25"/>
      <c r="P763" s="26"/>
      <c r="Q763" s="26"/>
    </row>
    <row r="764">
      <c r="O764" s="25"/>
      <c r="P764" s="26"/>
      <c r="Q764" s="26"/>
    </row>
    <row r="765">
      <c r="O765" s="25"/>
      <c r="P765" s="26"/>
      <c r="Q765" s="26"/>
    </row>
    <row r="766">
      <c r="O766" s="25"/>
      <c r="P766" s="26"/>
      <c r="Q766" s="26"/>
    </row>
    <row r="767">
      <c r="O767" s="25"/>
      <c r="P767" s="26"/>
      <c r="Q767" s="26"/>
    </row>
    <row r="768">
      <c r="O768" s="25"/>
      <c r="P768" s="26"/>
      <c r="Q768" s="26"/>
    </row>
    <row r="769">
      <c r="O769" s="25"/>
      <c r="P769" s="26"/>
      <c r="Q769" s="26"/>
    </row>
    <row r="770">
      <c r="O770" s="25"/>
      <c r="P770" s="26"/>
      <c r="Q770" s="26"/>
    </row>
    <row r="771">
      <c r="O771" s="25"/>
      <c r="P771" s="26"/>
      <c r="Q771" s="26"/>
    </row>
    <row r="772">
      <c r="O772" s="25"/>
      <c r="P772" s="26"/>
      <c r="Q772" s="26"/>
    </row>
    <row r="773">
      <c r="O773" s="25"/>
      <c r="P773" s="26"/>
      <c r="Q773" s="26"/>
    </row>
    <row r="774">
      <c r="O774" s="25"/>
      <c r="P774" s="26"/>
      <c r="Q774" s="26"/>
    </row>
    <row r="775">
      <c r="O775" s="25"/>
      <c r="P775" s="26"/>
      <c r="Q775" s="26"/>
    </row>
    <row r="776">
      <c r="O776" s="25"/>
      <c r="P776" s="26"/>
      <c r="Q776" s="26"/>
    </row>
    <row r="777">
      <c r="O777" s="25"/>
      <c r="P777" s="26"/>
      <c r="Q777" s="26"/>
    </row>
    <row r="778">
      <c r="O778" s="25"/>
      <c r="P778" s="26"/>
      <c r="Q778" s="26"/>
    </row>
    <row r="779">
      <c r="O779" s="25"/>
      <c r="P779" s="26"/>
      <c r="Q779" s="26"/>
    </row>
    <row r="780">
      <c r="O780" s="25"/>
      <c r="P780" s="26"/>
      <c r="Q780" s="26"/>
    </row>
    <row r="781">
      <c r="O781" s="25"/>
      <c r="P781" s="26"/>
      <c r="Q781" s="26"/>
    </row>
    <row r="782">
      <c r="O782" s="25"/>
      <c r="P782" s="26"/>
      <c r="Q782" s="26"/>
    </row>
    <row r="783">
      <c r="O783" s="25"/>
      <c r="P783" s="26"/>
      <c r="Q783" s="26"/>
    </row>
    <row r="784">
      <c r="O784" s="25"/>
      <c r="P784" s="26"/>
      <c r="Q784" s="26"/>
    </row>
    <row r="785">
      <c r="O785" s="25"/>
      <c r="P785" s="26"/>
      <c r="Q785" s="26"/>
    </row>
    <row r="786">
      <c r="O786" s="25"/>
      <c r="P786" s="26"/>
      <c r="Q786" s="26"/>
    </row>
    <row r="787">
      <c r="O787" s="25"/>
      <c r="P787" s="26"/>
      <c r="Q787" s="26"/>
    </row>
    <row r="788">
      <c r="O788" s="25"/>
      <c r="P788" s="26"/>
      <c r="Q788" s="26"/>
    </row>
    <row r="789">
      <c r="O789" s="25"/>
      <c r="P789" s="26"/>
      <c r="Q789" s="26"/>
    </row>
    <row r="790">
      <c r="O790" s="25"/>
      <c r="P790" s="26"/>
      <c r="Q790" s="26"/>
    </row>
    <row r="791">
      <c r="O791" s="25"/>
      <c r="P791" s="26"/>
      <c r="Q791" s="26"/>
    </row>
    <row r="792">
      <c r="O792" s="25"/>
      <c r="P792" s="26"/>
      <c r="Q792" s="26"/>
    </row>
    <row r="793">
      <c r="O793" s="25"/>
      <c r="P793" s="26"/>
      <c r="Q793" s="26"/>
    </row>
    <row r="794">
      <c r="O794" s="25"/>
      <c r="P794" s="26"/>
      <c r="Q794" s="26"/>
    </row>
    <row r="795">
      <c r="O795" s="25"/>
      <c r="P795" s="26"/>
      <c r="Q795" s="26"/>
    </row>
    <row r="796">
      <c r="O796" s="25"/>
      <c r="P796" s="26"/>
      <c r="Q796" s="26"/>
    </row>
    <row r="797">
      <c r="O797" s="25"/>
      <c r="P797" s="26"/>
      <c r="Q797" s="26"/>
    </row>
    <row r="798">
      <c r="O798" s="25"/>
      <c r="P798" s="26"/>
      <c r="Q798" s="26"/>
    </row>
    <row r="799">
      <c r="O799" s="25"/>
      <c r="P799" s="26"/>
      <c r="Q799" s="26"/>
    </row>
    <row r="800">
      <c r="O800" s="25"/>
      <c r="P800" s="26"/>
      <c r="Q800" s="26"/>
    </row>
    <row r="801">
      <c r="O801" s="25"/>
      <c r="P801" s="26"/>
      <c r="Q801" s="26"/>
    </row>
    <row r="802">
      <c r="O802" s="25"/>
      <c r="P802" s="26"/>
      <c r="Q802" s="26"/>
    </row>
    <row r="803">
      <c r="O803" s="25"/>
      <c r="P803" s="26"/>
      <c r="Q803" s="26"/>
    </row>
    <row r="804">
      <c r="O804" s="25"/>
      <c r="P804" s="26"/>
      <c r="Q804" s="26"/>
    </row>
    <row r="805">
      <c r="O805" s="25"/>
      <c r="P805" s="26"/>
      <c r="Q805" s="26"/>
    </row>
    <row r="806">
      <c r="O806" s="25"/>
      <c r="P806" s="26"/>
      <c r="Q806" s="26"/>
    </row>
    <row r="807">
      <c r="O807" s="25"/>
      <c r="P807" s="26"/>
      <c r="Q807" s="26"/>
    </row>
    <row r="808">
      <c r="O808" s="25"/>
      <c r="P808" s="26"/>
      <c r="Q808" s="26"/>
    </row>
    <row r="809">
      <c r="O809" s="25"/>
      <c r="P809" s="26"/>
      <c r="Q809" s="26"/>
    </row>
    <row r="810">
      <c r="O810" s="25"/>
      <c r="P810" s="26"/>
      <c r="Q810" s="26"/>
    </row>
    <row r="811">
      <c r="O811" s="25"/>
      <c r="P811" s="26"/>
      <c r="Q811" s="26"/>
    </row>
    <row r="812">
      <c r="O812" s="25"/>
      <c r="P812" s="26"/>
      <c r="Q812" s="26"/>
    </row>
    <row r="813">
      <c r="O813" s="25"/>
      <c r="P813" s="26"/>
      <c r="Q813" s="26"/>
    </row>
    <row r="814">
      <c r="O814" s="25"/>
      <c r="P814" s="26"/>
      <c r="Q814" s="26"/>
    </row>
    <row r="815">
      <c r="O815" s="25"/>
      <c r="P815" s="26"/>
      <c r="Q815" s="26"/>
    </row>
    <row r="816">
      <c r="O816" s="25"/>
      <c r="P816" s="26"/>
      <c r="Q816" s="26"/>
    </row>
    <row r="817">
      <c r="O817" s="25"/>
      <c r="P817" s="26"/>
      <c r="Q817" s="26"/>
    </row>
    <row r="818">
      <c r="O818" s="25"/>
      <c r="P818" s="26"/>
      <c r="Q818" s="26"/>
    </row>
    <row r="819">
      <c r="O819" s="25"/>
      <c r="P819" s="26"/>
      <c r="Q819" s="26"/>
    </row>
    <row r="820">
      <c r="O820" s="25"/>
      <c r="P820" s="26"/>
      <c r="Q820" s="26"/>
    </row>
    <row r="821">
      <c r="O821" s="25"/>
      <c r="P821" s="26"/>
      <c r="Q821" s="26"/>
    </row>
    <row r="822">
      <c r="O822" s="25"/>
      <c r="P822" s="26"/>
      <c r="Q822" s="26"/>
    </row>
    <row r="823">
      <c r="O823" s="25"/>
      <c r="P823" s="26"/>
      <c r="Q823" s="26"/>
    </row>
    <row r="824">
      <c r="O824" s="25"/>
      <c r="P824" s="26"/>
      <c r="Q824" s="26"/>
    </row>
    <row r="825">
      <c r="O825" s="25"/>
      <c r="P825" s="26"/>
      <c r="Q825" s="26"/>
    </row>
    <row r="826">
      <c r="O826" s="25"/>
      <c r="P826" s="26"/>
      <c r="Q826" s="26"/>
    </row>
    <row r="827">
      <c r="O827" s="25"/>
      <c r="P827" s="26"/>
      <c r="Q827" s="26"/>
    </row>
    <row r="828">
      <c r="O828" s="25"/>
      <c r="P828" s="26"/>
      <c r="Q828" s="26"/>
    </row>
    <row r="829">
      <c r="O829" s="25"/>
      <c r="P829" s="26"/>
      <c r="Q829" s="26"/>
    </row>
    <row r="830">
      <c r="O830" s="25"/>
      <c r="P830" s="26"/>
      <c r="Q830" s="26"/>
    </row>
    <row r="831">
      <c r="O831" s="25"/>
      <c r="P831" s="26"/>
      <c r="Q831" s="26"/>
    </row>
    <row r="832">
      <c r="O832" s="25"/>
      <c r="P832" s="26"/>
      <c r="Q832" s="26"/>
    </row>
    <row r="833">
      <c r="O833" s="25"/>
      <c r="P833" s="26"/>
      <c r="Q833" s="26"/>
    </row>
    <row r="834">
      <c r="O834" s="25"/>
      <c r="P834" s="26"/>
      <c r="Q834" s="26"/>
    </row>
    <row r="835">
      <c r="O835" s="25"/>
      <c r="P835" s="26"/>
      <c r="Q835" s="26"/>
    </row>
    <row r="836">
      <c r="O836" s="25"/>
      <c r="P836" s="26"/>
      <c r="Q836" s="26"/>
    </row>
    <row r="837">
      <c r="O837" s="25"/>
      <c r="P837" s="26"/>
      <c r="Q837" s="26"/>
    </row>
    <row r="838">
      <c r="O838" s="25"/>
      <c r="P838" s="26"/>
      <c r="Q838" s="26"/>
    </row>
    <row r="839">
      <c r="O839" s="25"/>
      <c r="P839" s="26"/>
      <c r="Q839" s="26"/>
    </row>
    <row r="840">
      <c r="O840" s="25"/>
      <c r="P840" s="26"/>
      <c r="Q840" s="26"/>
    </row>
    <row r="841">
      <c r="O841" s="25"/>
      <c r="P841" s="26"/>
      <c r="Q841" s="26"/>
    </row>
    <row r="842">
      <c r="O842" s="25"/>
      <c r="P842" s="26"/>
      <c r="Q842" s="26"/>
    </row>
    <row r="843">
      <c r="O843" s="25"/>
      <c r="P843" s="26"/>
      <c r="Q843" s="26"/>
    </row>
    <row r="844">
      <c r="O844" s="25"/>
      <c r="P844" s="26"/>
      <c r="Q844" s="26"/>
    </row>
    <row r="845">
      <c r="O845" s="25"/>
      <c r="P845" s="26"/>
      <c r="Q845" s="26"/>
    </row>
    <row r="846">
      <c r="O846" s="25"/>
      <c r="P846" s="26"/>
      <c r="Q846" s="26"/>
    </row>
    <row r="847">
      <c r="O847" s="25"/>
      <c r="P847" s="26"/>
      <c r="Q847" s="26"/>
    </row>
    <row r="848">
      <c r="O848" s="25"/>
      <c r="P848" s="26"/>
      <c r="Q848" s="26"/>
    </row>
    <row r="849">
      <c r="O849" s="25"/>
      <c r="P849" s="26"/>
      <c r="Q849" s="26"/>
    </row>
    <row r="850">
      <c r="O850" s="25"/>
      <c r="P850" s="26"/>
      <c r="Q850" s="26"/>
    </row>
    <row r="851">
      <c r="O851" s="25"/>
      <c r="P851" s="26"/>
      <c r="Q851" s="26"/>
    </row>
    <row r="852">
      <c r="O852" s="25"/>
      <c r="P852" s="26"/>
      <c r="Q852" s="26"/>
    </row>
    <row r="853">
      <c r="O853" s="25"/>
      <c r="P853" s="26"/>
      <c r="Q853" s="26"/>
    </row>
    <row r="854">
      <c r="O854" s="25"/>
      <c r="P854" s="26"/>
      <c r="Q854" s="26"/>
    </row>
    <row r="855">
      <c r="O855" s="25"/>
      <c r="P855" s="26"/>
      <c r="Q855" s="26"/>
    </row>
    <row r="856">
      <c r="O856" s="25"/>
      <c r="P856" s="26"/>
      <c r="Q856" s="26"/>
    </row>
    <row r="857">
      <c r="O857" s="25"/>
      <c r="P857" s="26"/>
      <c r="Q857" s="26"/>
    </row>
    <row r="858">
      <c r="O858" s="25"/>
      <c r="P858" s="26"/>
      <c r="Q858" s="26"/>
    </row>
    <row r="859">
      <c r="O859" s="25"/>
      <c r="P859" s="26"/>
      <c r="Q859" s="26"/>
    </row>
    <row r="860">
      <c r="O860" s="25"/>
      <c r="P860" s="26"/>
      <c r="Q860" s="26"/>
    </row>
    <row r="861">
      <c r="O861" s="25"/>
      <c r="P861" s="26"/>
      <c r="Q861" s="26"/>
    </row>
    <row r="862">
      <c r="O862" s="25"/>
      <c r="P862" s="26"/>
      <c r="Q862" s="26"/>
    </row>
    <row r="863">
      <c r="O863" s="25"/>
      <c r="P863" s="26"/>
      <c r="Q863" s="26"/>
    </row>
    <row r="864">
      <c r="O864" s="25"/>
      <c r="P864" s="26"/>
      <c r="Q864" s="26"/>
    </row>
    <row r="865">
      <c r="O865" s="25"/>
      <c r="P865" s="26"/>
      <c r="Q865" s="26"/>
    </row>
    <row r="866">
      <c r="O866" s="25"/>
      <c r="P866" s="26"/>
      <c r="Q866" s="26"/>
    </row>
    <row r="867">
      <c r="O867" s="25"/>
      <c r="P867" s="26"/>
      <c r="Q867" s="26"/>
    </row>
    <row r="868">
      <c r="O868" s="25"/>
      <c r="P868" s="26"/>
      <c r="Q868" s="26"/>
    </row>
    <row r="869">
      <c r="O869" s="25"/>
      <c r="P869" s="26"/>
      <c r="Q869" s="26"/>
    </row>
    <row r="870">
      <c r="O870" s="25"/>
      <c r="P870" s="26"/>
      <c r="Q870" s="26"/>
    </row>
    <row r="871">
      <c r="O871" s="25"/>
      <c r="P871" s="26"/>
      <c r="Q871" s="26"/>
    </row>
    <row r="872">
      <c r="O872" s="25"/>
      <c r="P872" s="26"/>
      <c r="Q872" s="26"/>
    </row>
    <row r="873">
      <c r="O873" s="25"/>
      <c r="P873" s="26"/>
      <c r="Q873" s="26"/>
    </row>
    <row r="874">
      <c r="O874" s="25"/>
      <c r="P874" s="26"/>
      <c r="Q874" s="26"/>
    </row>
    <row r="875">
      <c r="O875" s="25"/>
      <c r="P875" s="26"/>
      <c r="Q875" s="26"/>
    </row>
    <row r="876">
      <c r="O876" s="25"/>
      <c r="P876" s="26"/>
      <c r="Q876" s="26"/>
    </row>
    <row r="877">
      <c r="O877" s="25"/>
      <c r="P877" s="26"/>
      <c r="Q877" s="26"/>
    </row>
    <row r="878">
      <c r="O878" s="25"/>
      <c r="P878" s="26"/>
      <c r="Q878" s="26"/>
    </row>
    <row r="879">
      <c r="O879" s="25"/>
      <c r="P879" s="26"/>
      <c r="Q879" s="26"/>
    </row>
    <row r="880">
      <c r="O880" s="25"/>
      <c r="P880" s="26"/>
      <c r="Q880" s="26"/>
    </row>
    <row r="881">
      <c r="O881" s="25"/>
      <c r="P881" s="26"/>
      <c r="Q881" s="26"/>
    </row>
    <row r="882">
      <c r="O882" s="25"/>
      <c r="P882" s="26"/>
      <c r="Q882" s="26"/>
    </row>
    <row r="883">
      <c r="O883" s="25"/>
      <c r="P883" s="26"/>
      <c r="Q883" s="26"/>
    </row>
    <row r="884">
      <c r="O884" s="25"/>
      <c r="P884" s="26"/>
      <c r="Q884" s="26"/>
    </row>
    <row r="885">
      <c r="O885" s="25"/>
      <c r="P885" s="26"/>
      <c r="Q885" s="26"/>
    </row>
    <row r="886">
      <c r="O886" s="25"/>
      <c r="P886" s="26"/>
      <c r="Q886" s="26"/>
    </row>
    <row r="887">
      <c r="O887" s="25"/>
      <c r="P887" s="26"/>
      <c r="Q887" s="26"/>
    </row>
    <row r="888">
      <c r="O888" s="25"/>
      <c r="P888" s="26"/>
      <c r="Q888" s="26"/>
    </row>
    <row r="889">
      <c r="O889" s="25"/>
      <c r="P889" s="26"/>
      <c r="Q889" s="26"/>
    </row>
    <row r="890">
      <c r="O890" s="25"/>
      <c r="P890" s="26"/>
      <c r="Q890" s="26"/>
    </row>
    <row r="891">
      <c r="O891" s="25"/>
      <c r="P891" s="26"/>
      <c r="Q891" s="26"/>
    </row>
    <row r="892">
      <c r="O892" s="25"/>
      <c r="P892" s="26"/>
      <c r="Q892" s="26"/>
    </row>
    <row r="893">
      <c r="O893" s="25"/>
      <c r="P893" s="26"/>
      <c r="Q893" s="26"/>
    </row>
    <row r="894">
      <c r="O894" s="25"/>
      <c r="P894" s="26"/>
      <c r="Q894" s="26"/>
    </row>
    <row r="895">
      <c r="O895" s="25"/>
      <c r="P895" s="26"/>
      <c r="Q895" s="26"/>
    </row>
    <row r="896">
      <c r="O896" s="25"/>
      <c r="P896" s="26"/>
      <c r="Q896" s="26"/>
    </row>
    <row r="897">
      <c r="O897" s="25"/>
      <c r="P897" s="26"/>
      <c r="Q897" s="26"/>
    </row>
    <row r="898">
      <c r="O898" s="25"/>
      <c r="P898" s="26"/>
      <c r="Q898" s="26"/>
    </row>
    <row r="899">
      <c r="O899" s="25"/>
      <c r="P899" s="26"/>
      <c r="Q899" s="26"/>
    </row>
    <row r="900">
      <c r="O900" s="25"/>
      <c r="P900" s="26"/>
      <c r="Q900" s="26"/>
    </row>
    <row r="901">
      <c r="O901" s="25"/>
      <c r="P901" s="26"/>
      <c r="Q901" s="26"/>
    </row>
    <row r="902">
      <c r="O902" s="25"/>
      <c r="P902" s="26"/>
      <c r="Q902" s="26"/>
    </row>
    <row r="903">
      <c r="O903" s="25"/>
      <c r="P903" s="26"/>
      <c r="Q903" s="26"/>
    </row>
    <row r="904">
      <c r="O904" s="25"/>
      <c r="P904" s="26"/>
      <c r="Q904" s="26"/>
    </row>
    <row r="905">
      <c r="O905" s="25"/>
      <c r="P905" s="26"/>
      <c r="Q905" s="26"/>
    </row>
    <row r="906">
      <c r="O906" s="25"/>
      <c r="P906" s="26"/>
      <c r="Q906" s="26"/>
    </row>
    <row r="907">
      <c r="O907" s="25"/>
      <c r="P907" s="26"/>
      <c r="Q907" s="26"/>
    </row>
    <row r="908">
      <c r="O908" s="25"/>
      <c r="P908" s="26"/>
      <c r="Q908" s="26"/>
    </row>
    <row r="909">
      <c r="O909" s="25"/>
      <c r="P909" s="26"/>
      <c r="Q909" s="26"/>
    </row>
    <row r="910">
      <c r="O910" s="25"/>
      <c r="P910" s="26"/>
      <c r="Q910" s="26"/>
    </row>
    <row r="911">
      <c r="O911" s="25"/>
      <c r="P911" s="26"/>
      <c r="Q911" s="26"/>
    </row>
    <row r="912">
      <c r="O912" s="25"/>
      <c r="P912" s="26"/>
      <c r="Q912" s="26"/>
    </row>
    <row r="913">
      <c r="O913" s="25"/>
      <c r="P913" s="26"/>
      <c r="Q913" s="26"/>
    </row>
    <row r="914">
      <c r="O914" s="25"/>
      <c r="P914" s="26"/>
      <c r="Q914" s="26"/>
    </row>
    <row r="915">
      <c r="O915" s="25"/>
      <c r="P915" s="26"/>
      <c r="Q915" s="26"/>
    </row>
    <row r="916">
      <c r="O916" s="25"/>
      <c r="P916" s="26"/>
      <c r="Q916" s="26"/>
    </row>
    <row r="917">
      <c r="O917" s="25"/>
      <c r="P917" s="26"/>
      <c r="Q917" s="26"/>
    </row>
    <row r="918">
      <c r="O918" s="25"/>
      <c r="P918" s="26"/>
      <c r="Q918" s="26"/>
    </row>
    <row r="919">
      <c r="O919" s="25"/>
      <c r="P919" s="26"/>
      <c r="Q919" s="26"/>
    </row>
    <row r="920">
      <c r="O920" s="25"/>
      <c r="P920" s="26"/>
      <c r="Q920" s="26"/>
    </row>
    <row r="921">
      <c r="O921" s="25"/>
      <c r="P921" s="26"/>
      <c r="Q921" s="26"/>
    </row>
    <row r="922">
      <c r="O922" s="25"/>
      <c r="P922" s="26"/>
      <c r="Q922" s="26"/>
    </row>
    <row r="923">
      <c r="O923" s="25"/>
      <c r="P923" s="26"/>
      <c r="Q923" s="26"/>
    </row>
    <row r="924">
      <c r="O924" s="25"/>
      <c r="P924" s="26"/>
      <c r="Q924" s="26"/>
    </row>
    <row r="925">
      <c r="O925" s="25"/>
      <c r="P925" s="26"/>
      <c r="Q925" s="26"/>
    </row>
    <row r="926">
      <c r="O926" s="25"/>
      <c r="P926" s="26"/>
      <c r="Q926" s="26"/>
    </row>
    <row r="927">
      <c r="O927" s="25"/>
      <c r="P927" s="26"/>
      <c r="Q927" s="26"/>
    </row>
    <row r="928">
      <c r="O928" s="25"/>
      <c r="P928" s="26"/>
      <c r="Q928" s="26"/>
    </row>
    <row r="929">
      <c r="O929" s="25"/>
      <c r="P929" s="26"/>
      <c r="Q929" s="26"/>
    </row>
    <row r="930">
      <c r="O930" s="25"/>
      <c r="P930" s="26"/>
      <c r="Q930" s="26"/>
    </row>
    <row r="931">
      <c r="O931" s="25"/>
      <c r="P931" s="26"/>
      <c r="Q931" s="26"/>
    </row>
    <row r="932">
      <c r="O932" s="25"/>
      <c r="P932" s="26"/>
      <c r="Q932" s="26"/>
    </row>
    <row r="933">
      <c r="O933" s="25"/>
      <c r="P933" s="26"/>
      <c r="Q933" s="26"/>
    </row>
    <row r="934">
      <c r="O934" s="25"/>
      <c r="P934" s="26"/>
      <c r="Q934" s="26"/>
    </row>
    <row r="935">
      <c r="O935" s="25"/>
      <c r="P935" s="26"/>
      <c r="Q935" s="26"/>
    </row>
    <row r="936">
      <c r="O936" s="25"/>
      <c r="P936" s="26"/>
      <c r="Q936" s="26"/>
    </row>
    <row r="937">
      <c r="O937" s="25"/>
      <c r="P937" s="26"/>
      <c r="Q937" s="26"/>
    </row>
    <row r="938">
      <c r="O938" s="25"/>
      <c r="P938" s="26"/>
      <c r="Q938" s="26"/>
    </row>
    <row r="939">
      <c r="O939" s="25"/>
      <c r="P939" s="26"/>
      <c r="Q939" s="26"/>
    </row>
    <row r="940">
      <c r="O940" s="25"/>
      <c r="P940" s="26"/>
      <c r="Q940" s="26"/>
    </row>
    <row r="941">
      <c r="O941" s="25"/>
      <c r="P941" s="26"/>
      <c r="Q941" s="26"/>
    </row>
    <row r="942">
      <c r="O942" s="25"/>
      <c r="P942" s="26"/>
      <c r="Q942" s="26"/>
    </row>
    <row r="943">
      <c r="O943" s="25"/>
      <c r="P943" s="26"/>
      <c r="Q943" s="26"/>
    </row>
    <row r="944">
      <c r="O944" s="25"/>
      <c r="P944" s="26"/>
      <c r="Q944" s="26"/>
    </row>
    <row r="945">
      <c r="O945" s="25"/>
      <c r="P945" s="26"/>
      <c r="Q945" s="26"/>
    </row>
    <row r="946">
      <c r="O946" s="25"/>
      <c r="P946" s="26"/>
      <c r="Q946" s="26"/>
    </row>
    <row r="947">
      <c r="O947" s="25"/>
      <c r="P947" s="26"/>
      <c r="Q947" s="26"/>
    </row>
    <row r="948">
      <c r="O948" s="25"/>
      <c r="P948" s="26"/>
      <c r="Q948" s="26"/>
    </row>
    <row r="949">
      <c r="O949" s="25"/>
      <c r="P949" s="26"/>
      <c r="Q949" s="26"/>
    </row>
    <row r="950">
      <c r="O950" s="25"/>
      <c r="P950" s="26"/>
      <c r="Q950" s="26"/>
    </row>
    <row r="951">
      <c r="O951" s="25"/>
      <c r="P951" s="26"/>
      <c r="Q951" s="26"/>
    </row>
    <row r="952">
      <c r="O952" s="25"/>
      <c r="P952" s="26"/>
      <c r="Q952" s="26"/>
    </row>
    <row r="953">
      <c r="O953" s="25"/>
      <c r="P953" s="26"/>
      <c r="Q953" s="26"/>
    </row>
    <row r="954">
      <c r="O954" s="25"/>
      <c r="P954" s="26"/>
      <c r="Q954" s="26"/>
    </row>
    <row r="955">
      <c r="O955" s="25"/>
      <c r="P955" s="26"/>
      <c r="Q955" s="26"/>
    </row>
    <row r="956">
      <c r="O956" s="25"/>
      <c r="P956" s="26"/>
      <c r="Q956" s="26"/>
    </row>
    <row r="957">
      <c r="O957" s="25"/>
      <c r="P957" s="26"/>
      <c r="Q957" s="26"/>
    </row>
    <row r="958">
      <c r="O958" s="25"/>
      <c r="P958" s="26"/>
      <c r="Q958" s="26"/>
    </row>
    <row r="959">
      <c r="O959" s="25"/>
      <c r="P959" s="26"/>
      <c r="Q959" s="26"/>
    </row>
    <row r="960">
      <c r="O960" s="25"/>
      <c r="P960" s="26"/>
      <c r="Q960" s="26"/>
    </row>
    <row r="961">
      <c r="O961" s="25"/>
      <c r="P961" s="26"/>
      <c r="Q961" s="26"/>
    </row>
    <row r="962">
      <c r="O962" s="25"/>
      <c r="P962" s="26"/>
      <c r="Q962" s="26"/>
    </row>
    <row r="963">
      <c r="O963" s="25"/>
      <c r="P963" s="26"/>
      <c r="Q963" s="26"/>
    </row>
    <row r="964">
      <c r="O964" s="25"/>
      <c r="P964" s="26"/>
      <c r="Q964" s="26"/>
    </row>
    <row r="965">
      <c r="O965" s="25"/>
      <c r="P965" s="26"/>
      <c r="Q965" s="26"/>
    </row>
    <row r="966">
      <c r="O966" s="25"/>
      <c r="P966" s="26"/>
      <c r="Q966" s="26"/>
    </row>
    <row r="967">
      <c r="O967" s="25"/>
      <c r="P967" s="26"/>
      <c r="Q967" s="26"/>
    </row>
    <row r="968">
      <c r="O968" s="25"/>
      <c r="P968" s="26"/>
      <c r="Q968" s="26"/>
    </row>
    <row r="969">
      <c r="O969" s="25"/>
      <c r="P969" s="26"/>
      <c r="Q969" s="26"/>
    </row>
    <row r="970">
      <c r="O970" s="25"/>
      <c r="P970" s="26"/>
      <c r="Q970" s="26"/>
    </row>
    <row r="971">
      <c r="O971" s="25"/>
      <c r="P971" s="26"/>
      <c r="Q971" s="26"/>
    </row>
    <row r="972">
      <c r="O972" s="25"/>
      <c r="P972" s="26"/>
      <c r="Q972" s="26"/>
    </row>
    <row r="973">
      <c r="O973" s="25"/>
      <c r="P973" s="26"/>
      <c r="Q973" s="26"/>
    </row>
    <row r="974">
      <c r="O974" s="25"/>
      <c r="P974" s="26"/>
      <c r="Q974" s="26"/>
    </row>
    <row r="975">
      <c r="O975" s="25"/>
      <c r="P975" s="26"/>
      <c r="Q975" s="26"/>
    </row>
    <row r="976">
      <c r="O976" s="25"/>
      <c r="P976" s="26"/>
      <c r="Q976" s="26"/>
    </row>
    <row r="977">
      <c r="O977" s="25"/>
      <c r="P977" s="26"/>
      <c r="Q977" s="26"/>
    </row>
    <row r="978">
      <c r="O978" s="25"/>
      <c r="P978" s="26"/>
      <c r="Q978" s="26"/>
    </row>
    <row r="979">
      <c r="O979" s="25"/>
      <c r="P979" s="26"/>
      <c r="Q979" s="26"/>
    </row>
    <row r="980">
      <c r="O980" s="25"/>
      <c r="P980" s="26"/>
      <c r="Q980" s="26"/>
    </row>
    <row r="981">
      <c r="O981" s="25"/>
      <c r="P981" s="26"/>
      <c r="Q981" s="26"/>
    </row>
    <row r="982">
      <c r="O982" s="25"/>
      <c r="P982" s="26"/>
      <c r="Q982" s="26"/>
    </row>
    <row r="983">
      <c r="O983" s="25"/>
      <c r="P983" s="26"/>
      <c r="Q983" s="26"/>
    </row>
    <row r="984">
      <c r="O984" s="25"/>
      <c r="P984" s="26"/>
      <c r="Q984" s="26"/>
    </row>
    <row r="985">
      <c r="O985" s="25"/>
      <c r="P985" s="26"/>
      <c r="Q985" s="26"/>
    </row>
    <row r="986">
      <c r="O986" s="25"/>
      <c r="P986" s="26"/>
      <c r="Q986" s="26"/>
    </row>
    <row r="987">
      <c r="O987" s="25"/>
      <c r="P987" s="26"/>
      <c r="Q987" s="26"/>
    </row>
    <row r="988">
      <c r="O988" s="25"/>
      <c r="P988" s="26"/>
      <c r="Q988" s="26"/>
    </row>
    <row r="989">
      <c r="O989" s="25"/>
      <c r="P989" s="26"/>
      <c r="Q989" s="26"/>
    </row>
    <row r="990">
      <c r="O990" s="25"/>
      <c r="P990" s="26"/>
      <c r="Q990" s="26"/>
    </row>
    <row r="991">
      <c r="O991" s="25"/>
      <c r="P991" s="26"/>
      <c r="Q991" s="26"/>
    </row>
    <row r="992">
      <c r="O992" s="25"/>
      <c r="P992" s="26"/>
      <c r="Q992" s="26"/>
    </row>
    <row r="993">
      <c r="O993" s="25"/>
      <c r="P993" s="26"/>
      <c r="Q993" s="26"/>
    </row>
    <row r="994">
      <c r="O994" s="25"/>
      <c r="P994" s="26"/>
      <c r="Q994" s="26"/>
    </row>
    <row r="995">
      <c r="O995" s="25"/>
      <c r="P995" s="26"/>
      <c r="Q995" s="26"/>
    </row>
    <row r="996">
      <c r="O996" s="25"/>
      <c r="P996" s="26"/>
      <c r="Q996" s="26"/>
    </row>
    <row r="997">
      <c r="O997" s="25"/>
      <c r="P997" s="26"/>
      <c r="Q997" s="26"/>
    </row>
  </sheetData>
  <mergeCells count="9">
    <mergeCell ref="R11:S11"/>
    <mergeCell ref="B21:N21"/>
    <mergeCell ref="C2:E2"/>
    <mergeCell ref="F2:H2"/>
    <mergeCell ref="I2:K2"/>
    <mergeCell ref="L2:N2"/>
    <mergeCell ref="R2:S2"/>
    <mergeCell ref="R5:S5"/>
    <mergeCell ref="R8:S8"/>
  </mergeCells>
  <conditionalFormatting sqref="C47:N51">
    <cfRule type="cellIs" dxfId="0" priority="1" operator="greaterThan">
      <formula>1</formula>
    </cfRule>
  </conditionalFormatting>
  <conditionalFormatting sqref="C47:N51">
    <cfRule type="cellIs" dxfId="1" priority="2" operator="lessThan">
      <formula>1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3.5"/>
    <col customWidth="1" min="3" max="3" width="13.38"/>
    <col customWidth="1" min="4" max="4" width="13.88"/>
    <col customWidth="1" min="7" max="10" width="13.38"/>
    <col customWidth="1" min="11" max="12" width="12.88"/>
    <col customWidth="1" min="13" max="22" width="13.38"/>
    <col customWidth="1" min="25" max="26" width="13.38"/>
    <col customWidth="1" min="27" max="27" width="11.88"/>
    <col customWidth="1" min="28" max="29" width="14.25"/>
  </cols>
  <sheetData>
    <row r="1" ht="9.75" customHeight="1">
      <c r="AA1" s="25"/>
      <c r="AB1" s="26"/>
      <c r="AC1" s="26"/>
    </row>
    <row r="2">
      <c r="B2" s="27" t="s">
        <v>76</v>
      </c>
      <c r="C2" s="28" t="s">
        <v>77</v>
      </c>
      <c r="D2" s="7"/>
      <c r="E2" s="7"/>
      <c r="F2" s="7"/>
      <c r="G2" s="8"/>
      <c r="H2" s="90"/>
      <c r="I2" s="28" t="s">
        <v>78</v>
      </c>
      <c r="J2" s="7"/>
      <c r="K2" s="7"/>
      <c r="L2" s="7"/>
      <c r="M2" s="8"/>
      <c r="N2" s="90"/>
      <c r="O2" s="28" t="s">
        <v>79</v>
      </c>
      <c r="P2" s="7"/>
      <c r="Q2" s="7"/>
      <c r="R2" s="7"/>
      <c r="S2" s="8"/>
      <c r="T2" s="90"/>
      <c r="U2" s="28" t="s">
        <v>80</v>
      </c>
      <c r="V2" s="7"/>
      <c r="W2" s="7"/>
      <c r="X2" s="7"/>
      <c r="Y2" s="8"/>
      <c r="Z2" s="91"/>
      <c r="AA2" s="25"/>
      <c r="AB2" s="11"/>
      <c r="AC2" s="26"/>
      <c r="AD2" s="29" t="s">
        <v>77</v>
      </c>
      <c r="AE2" s="8"/>
    </row>
    <row r="3">
      <c r="B3" s="30"/>
      <c r="C3" s="92" t="s">
        <v>81</v>
      </c>
      <c r="D3" s="92" t="s">
        <v>346</v>
      </c>
      <c r="E3" s="92" t="s">
        <v>82</v>
      </c>
      <c r="F3" s="92" t="s">
        <v>347</v>
      </c>
      <c r="G3" s="92" t="s">
        <v>83</v>
      </c>
      <c r="H3" s="92" t="s">
        <v>348</v>
      </c>
      <c r="I3" s="92" t="s">
        <v>84</v>
      </c>
      <c r="J3" s="92" t="s">
        <v>349</v>
      </c>
      <c r="K3" s="92" t="s">
        <v>85</v>
      </c>
      <c r="L3" s="92" t="s">
        <v>350</v>
      </c>
      <c r="M3" s="92" t="s">
        <v>86</v>
      </c>
      <c r="N3" s="92" t="s">
        <v>351</v>
      </c>
      <c r="O3" s="92" t="s">
        <v>87</v>
      </c>
      <c r="P3" s="92" t="s">
        <v>352</v>
      </c>
      <c r="Q3" s="92" t="s">
        <v>88</v>
      </c>
      <c r="R3" s="92" t="s">
        <v>353</v>
      </c>
      <c r="S3" s="92" t="s">
        <v>89</v>
      </c>
      <c r="T3" s="92" t="s">
        <v>354</v>
      </c>
      <c r="U3" s="92" t="s">
        <v>90</v>
      </c>
      <c r="V3" s="92" t="s">
        <v>355</v>
      </c>
      <c r="W3" s="92" t="s">
        <v>91</v>
      </c>
      <c r="X3" s="92" t="s">
        <v>356</v>
      </c>
      <c r="Y3" s="92" t="s">
        <v>92</v>
      </c>
      <c r="Z3" s="92" t="s">
        <v>357</v>
      </c>
      <c r="AA3" s="92" t="s">
        <v>93</v>
      </c>
      <c r="AB3" s="32"/>
      <c r="AC3" s="26"/>
      <c r="AD3" s="30" t="s">
        <v>94</v>
      </c>
      <c r="AE3" s="33">
        <v>0.06</v>
      </c>
    </row>
    <row r="4">
      <c r="B4" s="30" t="s">
        <v>95</v>
      </c>
      <c r="C4" s="93">
        <f>Revenue!D5</f>
        <v>1156850</v>
      </c>
      <c r="D4" s="93">
        <v>1119046.0</v>
      </c>
      <c r="E4" s="93">
        <f>Revenue!E5</f>
        <v>1267733.5</v>
      </c>
      <c r="F4" s="93"/>
      <c r="G4" s="93">
        <f>Revenue!F5</f>
        <v>1368637.485</v>
      </c>
      <c r="H4" s="93"/>
      <c r="I4" s="93">
        <f>Revenue!G5</f>
        <v>1485460.111</v>
      </c>
      <c r="J4" s="93"/>
      <c r="K4" s="93">
        <f>Revenue!H5</f>
        <v>1591768.701</v>
      </c>
      <c r="L4" s="93"/>
      <c r="M4" s="93">
        <f>Revenue!I5</f>
        <v>1688509.518</v>
      </c>
      <c r="N4" s="93"/>
      <c r="O4" s="93">
        <f>Revenue!J5</f>
        <v>1806543.662</v>
      </c>
      <c r="P4" s="93"/>
      <c r="Q4" s="93">
        <f>Revenue!K5</f>
        <v>1913954.732</v>
      </c>
      <c r="R4" s="93"/>
      <c r="S4" s="93">
        <f>Revenue!L5</f>
        <v>2011698.806</v>
      </c>
      <c r="T4" s="93"/>
      <c r="U4" s="93">
        <f>Revenue!M5</f>
        <v>2130645.914</v>
      </c>
      <c r="V4" s="93"/>
      <c r="W4" s="93">
        <f>Revenue!N5</f>
        <v>2238887.781</v>
      </c>
      <c r="X4" s="93"/>
      <c r="Y4" s="93">
        <f>Revenue!O5</f>
        <v>2337387.881</v>
      </c>
      <c r="Z4" s="93"/>
      <c r="AA4" s="94">
        <f t="shared" ref="AA4:AA6" si="1">C4+E4+G4+I4+K4+M4+O4+Q4+S4+U4+W4+Y4</f>
        <v>20998078.09</v>
      </c>
      <c r="AD4" s="2"/>
      <c r="AE4" s="36"/>
    </row>
    <row r="5">
      <c r="B5" s="30" t="s">
        <v>96</v>
      </c>
      <c r="C5" s="94">
        <f>Revenue!D37</f>
        <v>240000</v>
      </c>
      <c r="D5" s="94">
        <f>D7-D4</f>
        <v>326472</v>
      </c>
      <c r="E5" s="94">
        <f>Revenue!E37</f>
        <v>280000</v>
      </c>
      <c r="F5" s="94"/>
      <c r="G5" s="94">
        <f>Revenue!F37</f>
        <v>270000</v>
      </c>
      <c r="H5" s="94"/>
      <c r="I5" s="94">
        <f>Revenue!G37</f>
        <v>288333.3333</v>
      </c>
      <c r="J5" s="94"/>
      <c r="K5" s="94">
        <f>Revenue!H37</f>
        <v>306666.6667</v>
      </c>
      <c r="L5" s="94"/>
      <c r="M5" s="94">
        <f>Revenue!I37</f>
        <v>325000</v>
      </c>
      <c r="N5" s="94"/>
      <c r="O5" s="94">
        <f>Revenue!J37</f>
        <v>343333.3333</v>
      </c>
      <c r="P5" s="94"/>
      <c r="Q5" s="94">
        <f>Revenue!K37</f>
        <v>361666.6667</v>
      </c>
      <c r="R5" s="94"/>
      <c r="S5" s="94">
        <f>Revenue!L37</f>
        <v>380000</v>
      </c>
      <c r="T5" s="94"/>
      <c r="U5" s="94">
        <f>Revenue!M37</f>
        <v>398333.3333</v>
      </c>
      <c r="V5" s="94"/>
      <c r="W5" s="94">
        <f>Revenue!N37</f>
        <v>416666.6667</v>
      </c>
      <c r="X5" s="94"/>
      <c r="Y5" s="94">
        <f>Revenue!O37</f>
        <v>435000</v>
      </c>
      <c r="Z5" s="94"/>
      <c r="AA5" s="94">
        <f t="shared" si="1"/>
        <v>4045000</v>
      </c>
      <c r="AB5" s="26"/>
      <c r="AC5" s="26"/>
      <c r="AD5" s="29" t="s">
        <v>78</v>
      </c>
      <c r="AE5" s="8"/>
    </row>
    <row r="6">
      <c r="B6" s="30" t="s">
        <v>97</v>
      </c>
      <c r="C6" s="93">
        <f>'Outras Receitas'!C15</f>
        <v>20766.66667</v>
      </c>
      <c r="D6" s="93"/>
      <c r="E6" s="93">
        <f>'Outras Receitas'!D15</f>
        <v>60408</v>
      </c>
      <c r="F6" s="93"/>
      <c r="G6" s="93">
        <f>'Outras Receitas'!E15</f>
        <v>25626.66667</v>
      </c>
      <c r="H6" s="93"/>
      <c r="I6" s="93">
        <f>'Outras Receitas'!F15</f>
        <v>43076.66667</v>
      </c>
      <c r="J6" s="93"/>
      <c r="K6" s="93">
        <f>'Outras Receitas'!G15</f>
        <v>90096.66667</v>
      </c>
      <c r="L6" s="93"/>
      <c r="M6" s="93">
        <f>'Outras Receitas'!H15</f>
        <v>48783.33333</v>
      </c>
      <c r="N6" s="93"/>
      <c r="O6" s="93">
        <f>'Outras Receitas'!I15</f>
        <v>85573.33333</v>
      </c>
      <c r="P6" s="93"/>
      <c r="Q6" s="93">
        <f>'Outras Receitas'!J15</f>
        <v>135713.3333</v>
      </c>
      <c r="R6" s="93"/>
      <c r="S6" s="93">
        <f>'Outras Receitas'!K15</f>
        <v>79046.66667</v>
      </c>
      <c r="T6" s="93"/>
      <c r="U6" s="93">
        <f>'Outras Receitas'!L15</f>
        <v>137006.6667</v>
      </c>
      <c r="V6" s="93"/>
      <c r="W6" s="93">
        <f>'Outras Receitas'!M15</f>
        <v>177006.6667</v>
      </c>
      <c r="X6" s="93"/>
      <c r="Y6" s="93">
        <f>'Outras Receitas'!N15</f>
        <v>137006.6667</v>
      </c>
      <c r="Z6" s="93"/>
      <c r="AA6" s="94">
        <f t="shared" si="1"/>
        <v>1040111.333</v>
      </c>
      <c r="AB6" s="26"/>
      <c r="AC6" s="26"/>
      <c r="AD6" s="30" t="s">
        <v>94</v>
      </c>
      <c r="AE6" s="33">
        <v>0.06</v>
      </c>
    </row>
    <row r="7">
      <c r="B7" s="12" t="s">
        <v>98</v>
      </c>
      <c r="C7" s="95">
        <f>C4+C5+C6</f>
        <v>1417616.667</v>
      </c>
      <c r="D7" s="96">
        <v>1445518.0</v>
      </c>
      <c r="E7" s="95">
        <f>E4+E5+E6</f>
        <v>1608141.5</v>
      </c>
      <c r="F7" s="95"/>
      <c r="G7" s="95">
        <f>G4+G5+G6</f>
        <v>1664264.152</v>
      </c>
      <c r="H7" s="95"/>
      <c r="I7" s="95">
        <f>I4+I5+I6</f>
        <v>1816870.111</v>
      </c>
      <c r="J7" s="95"/>
      <c r="K7" s="95">
        <f>K4+K5+K6</f>
        <v>1988532.035</v>
      </c>
      <c r="L7" s="95"/>
      <c r="M7" s="95">
        <f>M4+M5+M6</f>
        <v>2062292.852</v>
      </c>
      <c r="N7" s="95"/>
      <c r="O7" s="95">
        <f>O4+O5+O6</f>
        <v>2235450.328</v>
      </c>
      <c r="P7" s="95"/>
      <c r="Q7" s="95">
        <f>Q4+Q5+Q6</f>
        <v>2411334.732</v>
      </c>
      <c r="R7" s="95"/>
      <c r="S7" s="95">
        <f>S4+S5+S6</f>
        <v>2470745.473</v>
      </c>
      <c r="T7" s="95"/>
      <c r="U7" s="95">
        <f>U4+U5+U6</f>
        <v>2665985.914</v>
      </c>
      <c r="V7" s="95"/>
      <c r="W7" s="95">
        <f>W4+W5+W6</f>
        <v>2832561.115</v>
      </c>
      <c r="X7" s="95"/>
      <c r="Y7" s="95">
        <f>Y4+Y5+Y6</f>
        <v>2909394.548</v>
      </c>
      <c r="Z7" s="95"/>
      <c r="AA7" s="95">
        <f>AA4+AA5+AA6</f>
        <v>26083189.42</v>
      </c>
      <c r="AB7" s="26"/>
      <c r="AC7" s="26"/>
    </row>
    <row r="8">
      <c r="B8" s="30" t="s">
        <v>99</v>
      </c>
      <c r="C8" s="94">
        <f>C7*$AE$3</f>
        <v>85057</v>
      </c>
      <c r="D8" s="93">
        <v>283761.0</v>
      </c>
      <c r="E8" s="94">
        <f>E7*$AE$3</f>
        <v>96488.49</v>
      </c>
      <c r="F8" s="94"/>
      <c r="G8" s="94">
        <f>G7*$AE$3</f>
        <v>99855.8491</v>
      </c>
      <c r="H8" s="94"/>
      <c r="I8" s="94">
        <f>I7*$AE$6</f>
        <v>109012.2067</v>
      </c>
      <c r="J8" s="94"/>
      <c r="K8" s="94">
        <f>K7*$AE$6</f>
        <v>119311.9221</v>
      </c>
      <c r="L8" s="94"/>
      <c r="M8" s="94">
        <f>M7*$AE$6</f>
        <v>123737.5711</v>
      </c>
      <c r="N8" s="94"/>
      <c r="O8" s="94">
        <f>O7*$AE$9</f>
        <v>134127.0197</v>
      </c>
      <c r="P8" s="94"/>
      <c r="Q8" s="94">
        <f>Q7*$AE$9</f>
        <v>144680.0839</v>
      </c>
      <c r="R8" s="94"/>
      <c r="S8" s="94">
        <f>S7*$AE$9</f>
        <v>148244.7284</v>
      </c>
      <c r="T8" s="94"/>
      <c r="U8" s="94">
        <f>U7*$AE$12</f>
        <v>159959.1548</v>
      </c>
      <c r="V8" s="94"/>
      <c r="W8" s="94">
        <f>W7*$AE$12</f>
        <v>169953.6669</v>
      </c>
      <c r="X8" s="94"/>
      <c r="Y8" s="94">
        <f>Y7*$AE$12</f>
        <v>174563.6729</v>
      </c>
      <c r="Z8" s="94"/>
      <c r="AA8" s="94">
        <f t="shared" ref="AA8:AA16" si="2">C8+E8+G8+I8+K8+M8+O8+Q8+S8+U8+W8+Y8</f>
        <v>1564991.365</v>
      </c>
      <c r="AB8" s="38">
        <f t="shared" ref="AB8:AB9" si="3">AA8/$AA$7</f>
        <v>0.06</v>
      </c>
      <c r="AC8" s="26"/>
      <c r="AD8" s="29" t="s">
        <v>79</v>
      </c>
      <c r="AE8" s="8"/>
    </row>
    <row r="9">
      <c r="B9" s="30" t="s">
        <v>100</v>
      </c>
      <c r="C9" s="94">
        <f>'Tributário'!F11+'Tributário'!F12+'Tributário'!F13</f>
        <v>133132.2988</v>
      </c>
      <c r="D9" s="93">
        <v>104303.0</v>
      </c>
      <c r="E9" s="94">
        <f>'Tributário'!G11+'Tributário'!G12+'Tributário'!G13</f>
        <v>150146.1664</v>
      </c>
      <c r="F9" s="94"/>
      <c r="G9" s="94">
        <f>'Tributário'!H11+'Tributário'!H12+'Tributário'!H13</f>
        <v>155157.9192</v>
      </c>
      <c r="H9" s="94"/>
      <c r="I9" s="94">
        <f>'Tributário'!I11+'Tributário'!I12+'Tributário'!I13</f>
        <v>170420.414</v>
      </c>
      <c r="J9" s="94"/>
      <c r="K9" s="94">
        <f>'Tributário'!J11+'Tributário'!J12+'Tributário'!J13</f>
        <v>185749.8237</v>
      </c>
      <c r="L9" s="94"/>
      <c r="M9" s="94">
        <f>'Tributário'!K11+'Tributário'!K12+'Tributário'!K13</f>
        <v>192336.6647</v>
      </c>
      <c r="N9" s="94"/>
      <c r="O9" s="94">
        <f>'Tributário'!L11+'Tributário'!L12+'Tributário'!L13</f>
        <v>207799.6274</v>
      </c>
      <c r="P9" s="94"/>
      <c r="Q9" s="94">
        <f>'Tributário'!M11+'Tributário'!M12+'Tributário'!M13</f>
        <v>223506.1046</v>
      </c>
      <c r="R9" s="94"/>
      <c r="S9" s="94">
        <f>'Tributário'!N11+'Tributário'!N12+'Tributário'!N13</f>
        <v>228811.4838</v>
      </c>
      <c r="T9" s="94"/>
      <c r="U9" s="94">
        <f>'Tributário'!O11+'Tributário'!O12+'Tributário'!O13</f>
        <v>246246.4551</v>
      </c>
      <c r="V9" s="94"/>
      <c r="W9" s="94">
        <f>'Tributário'!P11+'Tributário'!P12+'Tributário'!P13</f>
        <v>261121.6206</v>
      </c>
      <c r="X9" s="94"/>
      <c r="Y9" s="94">
        <f>'Tributário'!Q11+'Tributário'!Q12+'Tributário'!Q13</f>
        <v>267982.8462</v>
      </c>
      <c r="Z9" s="94"/>
      <c r="AA9" s="94">
        <f t="shared" si="2"/>
        <v>2422411.424</v>
      </c>
      <c r="AB9" s="38">
        <f t="shared" si="3"/>
        <v>0.09287251589</v>
      </c>
      <c r="AC9" s="26"/>
      <c r="AD9" s="30" t="s">
        <v>94</v>
      </c>
      <c r="AE9" s="33">
        <v>0.06</v>
      </c>
    </row>
    <row r="10">
      <c r="B10" s="12" t="s">
        <v>101</v>
      </c>
      <c r="C10" s="95">
        <f t="shared" ref="C10:E10" si="4">C7-C8-C9</f>
        <v>1199427.368</v>
      </c>
      <c r="D10" s="95">
        <f t="shared" si="4"/>
        <v>1057454</v>
      </c>
      <c r="E10" s="95">
        <f t="shared" si="4"/>
        <v>1361506.844</v>
      </c>
      <c r="F10" s="95"/>
      <c r="G10" s="95">
        <f>G7-G8-G9</f>
        <v>1409250.383</v>
      </c>
      <c r="H10" s="95"/>
      <c r="I10" s="95">
        <f>I7-I8-I9</f>
        <v>1537437.491</v>
      </c>
      <c r="J10" s="95"/>
      <c r="K10" s="95">
        <f>K7-K8-K9</f>
        <v>1683470.289</v>
      </c>
      <c r="L10" s="95"/>
      <c r="M10" s="95">
        <f>M7-M8-M9</f>
        <v>1746218.616</v>
      </c>
      <c r="N10" s="95"/>
      <c r="O10" s="95">
        <f>O7-O8-O9</f>
        <v>1893523.681</v>
      </c>
      <c r="P10" s="95"/>
      <c r="Q10" s="95">
        <f>Q7-Q8-Q9</f>
        <v>2043148.543</v>
      </c>
      <c r="R10" s="95"/>
      <c r="S10" s="95">
        <f>S7-S8-S9</f>
        <v>2093689.261</v>
      </c>
      <c r="T10" s="95"/>
      <c r="U10" s="95">
        <f>U7-U8-U9</f>
        <v>2259780.304</v>
      </c>
      <c r="V10" s="95"/>
      <c r="W10" s="95">
        <f>W7-W8-W9</f>
        <v>2401485.827</v>
      </c>
      <c r="X10" s="95"/>
      <c r="Y10" s="95">
        <f>Y7-Y8-Y9</f>
        <v>2466848.029</v>
      </c>
      <c r="Z10" s="95"/>
      <c r="AA10" s="95">
        <f t="shared" si="2"/>
        <v>22095786.64</v>
      </c>
      <c r="AC10" s="39">
        <f>AA10/$AA$7</f>
        <v>0.8471274841</v>
      </c>
    </row>
    <row r="11">
      <c r="B11" s="30" t="s">
        <v>102</v>
      </c>
      <c r="C11" s="94">
        <f>CSV!D4</f>
        <v>345754.4</v>
      </c>
      <c r="D11" s="93">
        <v>349675.0</v>
      </c>
      <c r="E11" s="94">
        <f>CSV!E4</f>
        <v>380706.304</v>
      </c>
      <c r="F11" s="94"/>
      <c r="G11" s="94">
        <f>CSV!F4</f>
        <v>399437.5366</v>
      </c>
      <c r="H11" s="94"/>
      <c r="I11" s="94">
        <f>CSV!G4</f>
        <v>465597.9583</v>
      </c>
      <c r="J11" s="94"/>
      <c r="K11" s="94">
        <f>CSV!H4</f>
        <v>488400.6421</v>
      </c>
      <c r="L11" s="94"/>
      <c r="M11" s="94">
        <f>CSV!I4</f>
        <v>495996.0843</v>
      </c>
      <c r="N11" s="94"/>
      <c r="O11" s="94">
        <f>CSV!J4</f>
        <v>557632.9367</v>
      </c>
      <c r="P11" s="94"/>
      <c r="Q11" s="94">
        <f>CSV!K4</f>
        <v>583914.1724</v>
      </c>
      <c r="R11" s="94"/>
      <c r="S11" s="94">
        <f>CSV!L4</f>
        <v>598990.0969</v>
      </c>
      <c r="T11" s="94"/>
      <c r="U11" s="94">
        <f>CSV!M4</f>
        <v>647359.1882</v>
      </c>
      <c r="V11" s="94"/>
      <c r="W11" s="94">
        <f>CSV!N4</f>
        <v>662874.2612</v>
      </c>
      <c r="X11" s="94"/>
      <c r="Y11" s="94">
        <f>CSV!O4</f>
        <v>687435.4777</v>
      </c>
      <c r="Z11" s="94"/>
      <c r="AA11" s="94">
        <f t="shared" si="2"/>
        <v>6314099.059</v>
      </c>
      <c r="AB11" s="38">
        <f t="shared" ref="AB11:AB13" si="5">AA11/$AA$7</f>
        <v>0.2420754209</v>
      </c>
      <c r="AC11" s="26"/>
      <c r="AD11" s="29" t="s">
        <v>80</v>
      </c>
      <c r="AE11" s="8"/>
    </row>
    <row r="12">
      <c r="B12" s="30" t="s">
        <v>103</v>
      </c>
      <c r="C12" s="94">
        <f>(CSV!D7*400)</f>
        <v>29200</v>
      </c>
      <c r="D12" s="93">
        <v>37241.0</v>
      </c>
      <c r="E12" s="94">
        <f>(CSV!E7*400)</f>
        <v>32000</v>
      </c>
      <c r="F12" s="94"/>
      <c r="G12" s="94">
        <f>(CSV!F7*400)</f>
        <v>33200</v>
      </c>
      <c r="H12" s="94"/>
      <c r="I12" s="94">
        <f>(CSV!G7*400)</f>
        <v>37200</v>
      </c>
      <c r="J12" s="94"/>
      <c r="K12" s="94">
        <f>(CSV!H7*400)</f>
        <v>38800</v>
      </c>
      <c r="L12" s="94"/>
      <c r="M12" s="94">
        <f>(CSV!I7*400)</f>
        <v>39200</v>
      </c>
      <c r="N12" s="94"/>
      <c r="O12" s="94">
        <f>(CSV!J7*400)</f>
        <v>41600</v>
      </c>
      <c r="P12" s="94"/>
      <c r="Q12" s="94">
        <f>(CSV!K7*400)</f>
        <v>43200</v>
      </c>
      <c r="R12" s="94"/>
      <c r="S12" s="94">
        <f>(CSV!L7*400)</f>
        <v>44000</v>
      </c>
      <c r="T12" s="94"/>
      <c r="U12" s="94">
        <f>(CSV!M7*400)</f>
        <v>46400</v>
      </c>
      <c r="V12" s="94"/>
      <c r="W12" s="94">
        <f>(CSV!N7*400)</f>
        <v>47600</v>
      </c>
      <c r="X12" s="94"/>
      <c r="Y12" s="94">
        <f>(CSV!O7*400)</f>
        <v>48800</v>
      </c>
      <c r="Z12" s="94"/>
      <c r="AA12" s="94">
        <f t="shared" si="2"/>
        <v>481200</v>
      </c>
      <c r="AB12" s="38">
        <f t="shared" si="5"/>
        <v>0.01844866409</v>
      </c>
      <c r="AC12" s="39"/>
      <c r="AD12" s="30" t="s">
        <v>94</v>
      </c>
      <c r="AE12" s="33">
        <v>0.06</v>
      </c>
    </row>
    <row r="13">
      <c r="B13" s="30" t="s">
        <v>104</v>
      </c>
      <c r="C13" s="94">
        <f>'SG&amp;A'!C42</f>
        <v>41540</v>
      </c>
      <c r="D13" s="94"/>
      <c r="E13" s="94">
        <f>'SG&amp;A'!D42</f>
        <v>41932</v>
      </c>
      <c r="F13" s="94"/>
      <c r="G13" s="94">
        <f>'SG&amp;A'!E42</f>
        <v>42177</v>
      </c>
      <c r="H13" s="94"/>
      <c r="I13" s="94">
        <f>'SG&amp;A'!F42</f>
        <v>44635</v>
      </c>
      <c r="J13" s="94"/>
      <c r="K13" s="94">
        <f>'SG&amp;A'!G42</f>
        <v>44831</v>
      </c>
      <c r="L13" s="94"/>
      <c r="M13" s="94">
        <f>'SG&amp;A'!H42</f>
        <v>44929</v>
      </c>
      <c r="N13" s="94"/>
      <c r="O13" s="94">
        <f>'SG&amp;A'!I42</f>
        <v>62293</v>
      </c>
      <c r="P13" s="94"/>
      <c r="Q13" s="94">
        <f>'SG&amp;A'!J42</f>
        <v>47538</v>
      </c>
      <c r="R13" s="94"/>
      <c r="S13" s="94">
        <f>'SG&amp;A'!K42</f>
        <v>47685</v>
      </c>
      <c r="T13" s="94"/>
      <c r="U13" s="94">
        <f>'SG&amp;A'!L42</f>
        <v>49098</v>
      </c>
      <c r="V13" s="94"/>
      <c r="W13" s="94">
        <f>'SG&amp;A'!M42</f>
        <v>49245</v>
      </c>
      <c r="X13" s="94"/>
      <c r="Y13" s="94">
        <f>'SG&amp;A'!N42</f>
        <v>49441</v>
      </c>
      <c r="Z13" s="94"/>
      <c r="AA13" s="94">
        <f t="shared" si="2"/>
        <v>565344</v>
      </c>
      <c r="AB13" s="38">
        <f t="shared" si="5"/>
        <v>0.02167464994</v>
      </c>
      <c r="AC13" s="39"/>
    </row>
    <row r="14">
      <c r="B14" s="12" t="s">
        <v>105</v>
      </c>
      <c r="C14" s="95">
        <f>C10-C11-C12-C13</f>
        <v>782932.9679</v>
      </c>
      <c r="D14" s="95">
        <f>D10-D11-D12</f>
        <v>670538</v>
      </c>
      <c r="E14" s="95">
        <f>E10-E11-E12-E13</f>
        <v>906868.5396</v>
      </c>
      <c r="F14" s="95"/>
      <c r="G14" s="95">
        <f>G10-G11-G12-G13</f>
        <v>934435.8467</v>
      </c>
      <c r="H14" s="95"/>
      <c r="I14" s="95">
        <f>I10-I11-I12-I13</f>
        <v>990004.5323</v>
      </c>
      <c r="J14" s="95"/>
      <c r="K14" s="95">
        <f>K10-K11-K12-K13</f>
        <v>1111438.647</v>
      </c>
      <c r="L14" s="95"/>
      <c r="M14" s="95">
        <f>M10-M11-M12-M13</f>
        <v>1166093.531</v>
      </c>
      <c r="N14" s="95"/>
      <c r="O14" s="95">
        <f>O10-O11-O12-O13</f>
        <v>1231997.744</v>
      </c>
      <c r="P14" s="95"/>
      <c r="Q14" s="95">
        <f>Q10-Q11-Q12-Q13</f>
        <v>1368496.371</v>
      </c>
      <c r="R14" s="95"/>
      <c r="S14" s="95">
        <f>S10-S11-S12-S13</f>
        <v>1403014.164</v>
      </c>
      <c r="T14" s="95"/>
      <c r="U14" s="95">
        <f>U10-U11-U12-U13</f>
        <v>1516923.115</v>
      </c>
      <c r="V14" s="95"/>
      <c r="W14" s="95">
        <f>W10-W11-W12-W13</f>
        <v>1641766.566</v>
      </c>
      <c r="X14" s="95"/>
      <c r="Y14" s="95">
        <f>Y10-Y11-Y12-Y13</f>
        <v>1681171.551</v>
      </c>
      <c r="Z14" s="95"/>
      <c r="AA14" s="95">
        <f t="shared" si="2"/>
        <v>14735143.58</v>
      </c>
      <c r="AC14" s="39">
        <f>AA14/$AA$7</f>
        <v>0.5649287492</v>
      </c>
    </row>
    <row r="15">
      <c r="B15" s="30" t="s">
        <v>106</v>
      </c>
      <c r="C15" s="94">
        <f>CAC!C6</f>
        <v>262495.7095</v>
      </c>
      <c r="D15" s="93">
        <v>236184.0</v>
      </c>
      <c r="E15" s="94">
        <f>CAC!D6</f>
        <v>285895.7095</v>
      </c>
      <c r="F15" s="94"/>
      <c r="G15" s="94">
        <f>CAC!E6</f>
        <v>311895.7095</v>
      </c>
      <c r="H15" s="94"/>
      <c r="I15" s="94">
        <f>CAC!F6</f>
        <v>337573.7742</v>
      </c>
      <c r="J15" s="94"/>
      <c r="K15" s="94">
        <f>CAC!G6</f>
        <v>422573.7742</v>
      </c>
      <c r="L15" s="94"/>
      <c r="M15" s="94">
        <f>CAC!H6</f>
        <v>362573.7742</v>
      </c>
      <c r="N15" s="94"/>
      <c r="O15" s="94">
        <f>CAC!I6</f>
        <v>453925.1753</v>
      </c>
      <c r="P15" s="94"/>
      <c r="Q15" s="94">
        <f>CAC!J6</f>
        <v>371925.1753</v>
      </c>
      <c r="R15" s="94"/>
      <c r="S15" s="94">
        <f>CAC!K6</f>
        <v>384925.1753</v>
      </c>
      <c r="T15" s="94"/>
      <c r="U15" s="94">
        <f>CAC!L6</f>
        <v>420776.5765</v>
      </c>
      <c r="V15" s="94"/>
      <c r="W15" s="94">
        <f>CAC!M6</f>
        <v>405776.5765</v>
      </c>
      <c r="X15" s="94"/>
      <c r="Y15" s="94">
        <f>CAC!N6</f>
        <v>428776.5765</v>
      </c>
      <c r="Z15" s="94"/>
      <c r="AA15" s="94">
        <f t="shared" si="2"/>
        <v>4449113.707</v>
      </c>
      <c r="AB15" s="38">
        <f t="shared" ref="AB15:AB16" si="6">AA15/$AA$7</f>
        <v>0.1705739906</v>
      </c>
      <c r="AC15" s="26"/>
    </row>
    <row r="16">
      <c r="B16" s="30" t="s">
        <v>107</v>
      </c>
      <c r="C16" s="94">
        <f>'SG&amp;A'!C6-C12-C13</f>
        <v>227706</v>
      </c>
      <c r="D16" s="93">
        <v>286179.0</v>
      </c>
      <c r="E16" s="94">
        <f>'SG&amp;A'!D6-E12-E13</f>
        <v>218106</v>
      </c>
      <c r="F16" s="94"/>
      <c r="G16" s="94">
        <f>'SG&amp;A'!E6-G12-G13</f>
        <v>218906</v>
      </c>
      <c r="H16" s="94"/>
      <c r="I16" s="94">
        <f>'SG&amp;A'!F6-I12-I13</f>
        <v>210206</v>
      </c>
      <c r="J16" s="94"/>
      <c r="K16" s="94">
        <f>'SG&amp;A'!G6-K12-K13</f>
        <v>211206</v>
      </c>
      <c r="L16" s="94"/>
      <c r="M16" s="94">
        <f>'SG&amp;A'!H6-M12-M13</f>
        <v>215606</v>
      </c>
      <c r="N16" s="94"/>
      <c r="O16" s="94">
        <f>'SG&amp;A'!I6-O12-O13</f>
        <v>213606</v>
      </c>
      <c r="P16" s="94"/>
      <c r="Q16" s="94">
        <f>'SG&amp;A'!J6-Q12-Q13</f>
        <v>214006</v>
      </c>
      <c r="R16" s="94"/>
      <c r="S16" s="94">
        <f>'SG&amp;A'!K6-S12-S13</f>
        <v>214406</v>
      </c>
      <c r="T16" s="94"/>
      <c r="U16" s="94">
        <f>'SG&amp;A'!L6-U12-U13</f>
        <v>234506</v>
      </c>
      <c r="V16" s="94"/>
      <c r="W16" s="94">
        <f>'SG&amp;A'!M6-W12-W13</f>
        <v>244806</v>
      </c>
      <c r="X16" s="94"/>
      <c r="Y16" s="94">
        <f>'SG&amp;A'!N6-Y12-Y13</f>
        <v>265606</v>
      </c>
      <c r="Z16" s="94"/>
      <c r="AA16" s="94">
        <f t="shared" si="2"/>
        <v>2688672</v>
      </c>
      <c r="AB16" s="38">
        <f t="shared" si="6"/>
        <v>0.1030806454</v>
      </c>
      <c r="AC16" s="26"/>
    </row>
    <row r="17">
      <c r="B17" s="30" t="s">
        <v>108</v>
      </c>
      <c r="C17" s="94">
        <f>Overview!C17</f>
        <v>54000</v>
      </c>
      <c r="D17" s="94"/>
      <c r="E17" s="94">
        <f>Overview!D17</f>
        <v>23000</v>
      </c>
      <c r="F17" s="94"/>
      <c r="G17" s="94">
        <f>Overview!E17</f>
        <v>23000</v>
      </c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39"/>
      <c r="AC17" s="26"/>
    </row>
    <row r="18">
      <c r="B18" s="12" t="s">
        <v>109</v>
      </c>
      <c r="C18" s="95">
        <f>C14-C15-C16-C17</f>
        <v>238731.2584</v>
      </c>
      <c r="D18" s="95">
        <f>D14-D15-D16</f>
        <v>148175</v>
      </c>
      <c r="E18" s="95">
        <f>E14-E15-E16-E17</f>
        <v>379866.8301</v>
      </c>
      <c r="F18" s="95"/>
      <c r="G18" s="95">
        <f>G14-G15-G16-G17</f>
        <v>380634.1373</v>
      </c>
      <c r="H18" s="95"/>
      <c r="I18" s="95">
        <f>I14-I15-I16-I17</f>
        <v>442224.7582</v>
      </c>
      <c r="J18" s="95"/>
      <c r="K18" s="95">
        <f>K14-K15-K16-K17</f>
        <v>477658.8726</v>
      </c>
      <c r="L18" s="95"/>
      <c r="M18" s="95">
        <f>M14-M15-M16-M17</f>
        <v>587913.7573</v>
      </c>
      <c r="N18" s="95"/>
      <c r="O18" s="95">
        <f>O14-O15-O16-O17</f>
        <v>564466.5691</v>
      </c>
      <c r="P18" s="95"/>
      <c r="Q18" s="95">
        <f>Q14-Q15-Q16</f>
        <v>782565.1957</v>
      </c>
      <c r="R18" s="95"/>
      <c r="S18" s="95">
        <f>S14-S15-S16</f>
        <v>803682.9884</v>
      </c>
      <c r="T18" s="95"/>
      <c r="U18" s="95">
        <f>U14-U15-U16</f>
        <v>861640.5389</v>
      </c>
      <c r="V18" s="95"/>
      <c r="W18" s="95">
        <f>W14-W15-W16</f>
        <v>991183.9895</v>
      </c>
      <c r="X18" s="95"/>
      <c r="Y18" s="95">
        <f>Y14-Y15-Y16</f>
        <v>986788.9744</v>
      </c>
      <c r="Z18" s="95"/>
      <c r="AA18" s="95">
        <f t="shared" ref="AA18:AA20" si="7">C18+E18+G18+I18+K18+M18+O18+Q18+S18+U18+W18+Y18</f>
        <v>7497357.87</v>
      </c>
      <c r="AB18" s="39"/>
      <c r="AC18" s="39">
        <f>AA18/$AA$7</f>
        <v>0.2874402263</v>
      </c>
    </row>
    <row r="19">
      <c r="B19" s="30" t="s">
        <v>345</v>
      </c>
      <c r="C19" s="94">
        <f>'Tributário'!F14</f>
        <v>99528.62786</v>
      </c>
      <c r="D19" s="94"/>
      <c r="E19" s="94">
        <f>'Tributário'!G14</f>
        <v>136974.7222</v>
      </c>
      <c r="F19" s="94"/>
      <c r="G19" s="94">
        <f>'Tributário'!H14</f>
        <v>137235.6067</v>
      </c>
      <c r="H19" s="94"/>
      <c r="I19" s="94">
        <f>'Tributário'!I14</f>
        <v>150356.4178</v>
      </c>
      <c r="J19" s="94"/>
      <c r="K19" s="94">
        <f>'Tributário'!J14</f>
        <v>162404.0167</v>
      </c>
      <c r="L19" s="94"/>
      <c r="M19" s="94">
        <f>'Tributário'!K14</f>
        <v>199890.6775</v>
      </c>
      <c r="N19" s="94"/>
      <c r="O19" s="94">
        <f>'Tributário'!L14</f>
        <v>191918.6335</v>
      </c>
      <c r="P19" s="94"/>
      <c r="Q19" s="94">
        <f>'Tributário'!M14</f>
        <v>266072.1666</v>
      </c>
      <c r="R19" s="94"/>
      <c r="S19" s="94">
        <f>'Tributário'!N14</f>
        <v>273252.2161</v>
      </c>
      <c r="T19" s="94"/>
      <c r="U19" s="94">
        <f>'Tributário'!O14</f>
        <v>292957.7832</v>
      </c>
      <c r="V19" s="94"/>
      <c r="W19" s="94">
        <f>'Tributário'!P14</f>
        <v>337002.5564</v>
      </c>
      <c r="X19" s="94"/>
      <c r="Y19" s="94">
        <f>'Tributário'!Q14</f>
        <v>335508.2513</v>
      </c>
      <c r="Z19" s="94"/>
      <c r="AA19" s="94">
        <f t="shared" si="7"/>
        <v>2583101.676</v>
      </c>
      <c r="AB19" s="38">
        <f t="shared" ref="AB19:AB21" si="8">AA19/$AA$7</f>
        <v>0.0990331985</v>
      </c>
      <c r="AC19" s="26"/>
    </row>
    <row r="20">
      <c r="B20" s="30" t="s">
        <v>111</v>
      </c>
      <c r="C20" s="93">
        <f>'CAPEX e Giro'!D5</f>
        <v>35000</v>
      </c>
      <c r="D20" s="93"/>
      <c r="E20" s="93">
        <f>'CAPEX e Giro'!E5</f>
        <v>35000</v>
      </c>
      <c r="F20" s="93"/>
      <c r="G20" s="93">
        <f>'CAPEX e Giro'!F5</f>
        <v>35000</v>
      </c>
      <c r="H20" s="93"/>
      <c r="I20" s="93">
        <f>'CAPEX e Giro'!G5</f>
        <v>35000</v>
      </c>
      <c r="J20" s="93"/>
      <c r="K20" s="93">
        <f>'CAPEX e Giro'!H5</f>
        <v>35000</v>
      </c>
      <c r="L20" s="93"/>
      <c r="M20" s="93">
        <f>'CAPEX e Giro'!I5</f>
        <v>35000</v>
      </c>
      <c r="N20" s="93"/>
      <c r="O20" s="93">
        <f>'CAPEX e Giro'!J5</f>
        <v>35000</v>
      </c>
      <c r="P20" s="93"/>
      <c r="Q20" s="93">
        <f>'CAPEX e Giro'!K5</f>
        <v>35000</v>
      </c>
      <c r="R20" s="93"/>
      <c r="S20" s="93">
        <f>'CAPEX e Giro'!L5</f>
        <v>35000</v>
      </c>
      <c r="T20" s="93"/>
      <c r="U20" s="93">
        <f>'CAPEX e Giro'!M5</f>
        <v>35000</v>
      </c>
      <c r="V20" s="93"/>
      <c r="W20" s="93">
        <f>'CAPEX e Giro'!N5</f>
        <v>35000</v>
      </c>
      <c r="X20" s="93"/>
      <c r="Y20" s="93">
        <f>'CAPEX e Giro'!O5</f>
        <v>35000</v>
      </c>
      <c r="Z20" s="93"/>
      <c r="AA20" s="94">
        <f t="shared" si="7"/>
        <v>420000</v>
      </c>
      <c r="AB20" s="38">
        <f t="shared" si="8"/>
        <v>0.01610232526</v>
      </c>
      <c r="AC20" s="26"/>
    </row>
    <row r="21">
      <c r="B21" s="12" t="s">
        <v>112</v>
      </c>
      <c r="C21" s="95">
        <f>C18-C19-C20</f>
        <v>104202.6306</v>
      </c>
      <c r="D21" s="95"/>
      <c r="E21" s="95">
        <f>E18-E19-E20</f>
        <v>207892.1079</v>
      </c>
      <c r="F21" s="95"/>
      <c r="G21" s="95">
        <f>G18-G19-G20</f>
        <v>208398.5306</v>
      </c>
      <c r="H21" s="95"/>
      <c r="I21" s="95">
        <f>I18-I19-I20</f>
        <v>256868.3404</v>
      </c>
      <c r="J21" s="95"/>
      <c r="K21" s="95">
        <f>K18-K19-K20</f>
        <v>280254.8559</v>
      </c>
      <c r="L21" s="95"/>
      <c r="M21" s="95">
        <f>M18-M19-M20</f>
        <v>353023.0798</v>
      </c>
      <c r="N21" s="95"/>
      <c r="O21" s="95">
        <f>O18-O19-O20</f>
        <v>337547.9356</v>
      </c>
      <c r="P21" s="95"/>
      <c r="Q21" s="95">
        <f>Q18-Q19-Q20</f>
        <v>481493.0292</v>
      </c>
      <c r="R21" s="95"/>
      <c r="S21" s="95">
        <f>S18-S19-S20</f>
        <v>495430.7724</v>
      </c>
      <c r="T21" s="95"/>
      <c r="U21" s="95">
        <f>U18-U19-U20</f>
        <v>533682.7557</v>
      </c>
      <c r="V21" s="95"/>
      <c r="W21" s="95">
        <f>W18-W19-W20</f>
        <v>619181.433</v>
      </c>
      <c r="X21" s="95"/>
      <c r="Y21" s="95">
        <f>Y18-Y19-Y20</f>
        <v>616280.7231</v>
      </c>
      <c r="Z21" s="95"/>
      <c r="AA21" s="95">
        <f>AA18-AA19-AA20</f>
        <v>4494256.194</v>
      </c>
      <c r="AB21" s="40">
        <f t="shared" si="8"/>
        <v>0.1723047025</v>
      </c>
    </row>
    <row r="22">
      <c r="B22" s="30" t="s">
        <v>113</v>
      </c>
      <c r="C22" s="97">
        <f>C21/C7</f>
        <v>0.07350550611</v>
      </c>
      <c r="D22" s="94"/>
      <c r="E22" s="97">
        <f>E21/E7</f>
        <v>0.1292747609</v>
      </c>
      <c r="F22" s="97"/>
      <c r="G22" s="97">
        <f>G21/G7</f>
        <v>0.1252196236</v>
      </c>
      <c r="H22" s="97"/>
      <c r="I22" s="97">
        <f>I21/I7</f>
        <v>0.1413795839</v>
      </c>
      <c r="J22" s="97"/>
      <c r="K22" s="97">
        <f>K21/K7</f>
        <v>0.14093555</v>
      </c>
      <c r="L22" s="97"/>
      <c r="M22" s="97">
        <f>M21/M7</f>
        <v>0.1711798979</v>
      </c>
      <c r="N22" s="97"/>
      <c r="O22" s="97">
        <f>O21/O7</f>
        <v>0.1509977347</v>
      </c>
      <c r="P22" s="97"/>
      <c r="Q22" s="97">
        <f>Q21/Q7</f>
        <v>0.1996790503</v>
      </c>
      <c r="R22" s="97"/>
      <c r="S22" s="97">
        <f>S21/S7</f>
        <v>0.2005187413</v>
      </c>
      <c r="T22" s="97"/>
      <c r="U22" s="97">
        <f>U21/U7</f>
        <v>0.2001821364</v>
      </c>
      <c r="V22" s="97"/>
      <c r="W22" s="97">
        <f>W21/W7</f>
        <v>0.2185942008</v>
      </c>
      <c r="X22" s="97"/>
      <c r="Y22" s="97">
        <f>Y21/Y7</f>
        <v>0.2118243892</v>
      </c>
      <c r="Z22" s="97"/>
      <c r="AA22" s="39"/>
      <c r="AB22" s="39"/>
    </row>
    <row r="23">
      <c r="AA23" s="25"/>
    </row>
    <row r="24">
      <c r="B24" s="28" t="s">
        <v>114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  <c r="Z24" s="91"/>
      <c r="AA24" s="25"/>
      <c r="AB24" s="26"/>
      <c r="AC24" s="26"/>
    </row>
    <row r="25">
      <c r="B25" s="31"/>
      <c r="C25" s="92" t="s">
        <v>81</v>
      </c>
      <c r="D25" s="92" t="s">
        <v>346</v>
      </c>
      <c r="E25" s="92" t="s">
        <v>82</v>
      </c>
      <c r="F25" s="92"/>
      <c r="G25" s="92" t="s">
        <v>83</v>
      </c>
      <c r="H25" s="92"/>
      <c r="I25" s="92" t="s">
        <v>84</v>
      </c>
      <c r="J25" s="92"/>
      <c r="K25" s="92" t="s">
        <v>85</v>
      </c>
      <c r="L25" s="92"/>
      <c r="M25" s="92" t="s">
        <v>86</v>
      </c>
      <c r="N25" s="92"/>
      <c r="O25" s="92" t="s">
        <v>87</v>
      </c>
      <c r="P25" s="92"/>
      <c r="Q25" s="92" t="s">
        <v>88</v>
      </c>
      <c r="R25" s="92"/>
      <c r="S25" s="92" t="s">
        <v>89</v>
      </c>
      <c r="T25" s="92"/>
      <c r="U25" s="92" t="s">
        <v>90</v>
      </c>
      <c r="V25" s="92"/>
      <c r="W25" s="92" t="s">
        <v>91</v>
      </c>
      <c r="X25" s="92"/>
      <c r="Y25" s="92" t="s">
        <v>92</v>
      </c>
      <c r="Z25" s="92"/>
      <c r="AA25" s="25"/>
      <c r="AB25" s="26"/>
      <c r="AC25" s="26"/>
    </row>
    <row r="26">
      <c r="B26" s="31" t="s">
        <v>115</v>
      </c>
      <c r="C26" s="94">
        <f>C7-C8</f>
        <v>1332559.667</v>
      </c>
      <c r="D26" s="94"/>
      <c r="E26" s="94">
        <f>E7-E8</f>
        <v>1511653.01</v>
      </c>
      <c r="F26" s="94"/>
      <c r="G26" s="94">
        <f>G7-G8</f>
        <v>1564408.303</v>
      </c>
      <c r="H26" s="94"/>
      <c r="I26" s="94">
        <f>I7-I8</f>
        <v>1707857.905</v>
      </c>
      <c r="J26" s="94"/>
      <c r="K26" s="94">
        <f>K7-K8</f>
        <v>1869220.113</v>
      </c>
      <c r="L26" s="94"/>
      <c r="M26" s="94">
        <f>M7-M8</f>
        <v>1938555.28</v>
      </c>
      <c r="N26" s="94"/>
      <c r="O26" s="94">
        <f>O7-O8</f>
        <v>2101323.309</v>
      </c>
      <c r="P26" s="94"/>
      <c r="Q26" s="94">
        <f>Q7-Q8</f>
        <v>2266654.648</v>
      </c>
      <c r="R26" s="94"/>
      <c r="S26" s="94">
        <f>S7-S8</f>
        <v>2322500.744</v>
      </c>
      <c r="T26" s="94"/>
      <c r="U26" s="94">
        <f>U7-U8</f>
        <v>2506026.759</v>
      </c>
      <c r="V26" s="94"/>
      <c r="W26" s="94">
        <f>W7-W8</f>
        <v>2662607.448</v>
      </c>
      <c r="X26" s="94"/>
      <c r="Y26" s="94">
        <f>Y7-Y8</f>
        <v>2734830.875</v>
      </c>
      <c r="Z26" s="94"/>
      <c r="AA26" s="25"/>
      <c r="AB26" s="26"/>
      <c r="AC26" s="26"/>
    </row>
    <row r="27">
      <c r="B27" s="31" t="s">
        <v>116</v>
      </c>
      <c r="C27" s="94">
        <f>C9+C11+C15+C16+C19+C20+C12+C13</f>
        <v>1174357.036</v>
      </c>
      <c r="D27" s="94"/>
      <c r="E27" s="94">
        <f>E9+E11+E15+E16+E19+E20+E12+E13</f>
        <v>1280760.902</v>
      </c>
      <c r="F27" s="94"/>
      <c r="G27" s="94">
        <f>G9+G11+G15+G16+G19+G20+G12+G13</f>
        <v>1333009.772</v>
      </c>
      <c r="H27" s="94"/>
      <c r="I27" s="94">
        <f>I9+I11+I15+I16+I19+I20+I12+I13</f>
        <v>1450989.564</v>
      </c>
      <c r="J27" s="94"/>
      <c r="K27" s="94">
        <f>K9+K11+K15+K16+K19+K20+K12+K13</f>
        <v>1588965.257</v>
      </c>
      <c r="L27" s="94"/>
      <c r="M27" s="94">
        <f>M9+M11+M15+M16+M19+M20+M12+M13</f>
        <v>1585532.201</v>
      </c>
      <c r="N27" s="94"/>
      <c r="O27" s="94">
        <f>O9+O11+O15+O16+O19+O20+O12+O13</f>
        <v>1763775.373</v>
      </c>
      <c r="P27" s="94"/>
      <c r="Q27" s="94">
        <f>Q9+Q11+Q15+Q16+Q19+Q20+Q12+Q13</f>
        <v>1785161.619</v>
      </c>
      <c r="R27" s="94"/>
      <c r="S27" s="94">
        <f>S9+S11+S15+S16+S19+S20+S12+S13</f>
        <v>1827069.972</v>
      </c>
      <c r="T27" s="94"/>
      <c r="U27" s="94">
        <f>U9+U11+U15+U16+U19+U20+U12+U13</f>
        <v>1972344.003</v>
      </c>
      <c r="V27" s="94"/>
      <c r="W27" s="94">
        <f>W9+W11+W15+W16+W19+W20+W12+W13</f>
        <v>2043426.015</v>
      </c>
      <c r="X27" s="94"/>
      <c r="Y27" s="94">
        <f>Y9+Y11+Y15+Y16+Y19+Y20+Y12+Y13</f>
        <v>2118550.152</v>
      </c>
      <c r="Z27" s="94"/>
      <c r="AA27" s="25"/>
      <c r="AB27" s="26"/>
      <c r="AC27" s="26"/>
    </row>
    <row r="28">
      <c r="B28" s="31" t="s">
        <v>117</v>
      </c>
      <c r="C28" s="94">
        <f>CAC!Q7</f>
        <v>215000</v>
      </c>
      <c r="D28" s="94"/>
      <c r="E28" s="94">
        <f>CAC!R7</f>
        <v>215000</v>
      </c>
      <c r="F28" s="98"/>
      <c r="G28" s="94">
        <f>CAC!S7</f>
        <v>215000</v>
      </c>
      <c r="H28" s="98"/>
      <c r="I28" s="94">
        <f>CAC!T7</f>
        <v>240000</v>
      </c>
      <c r="J28" s="98"/>
      <c r="K28" s="94">
        <f>CAC!U7</f>
        <v>240000</v>
      </c>
      <c r="L28" s="98"/>
      <c r="M28" s="94">
        <f>CAC!V7</f>
        <v>240000</v>
      </c>
      <c r="N28" s="98"/>
      <c r="O28" s="94">
        <f>CAC!W7</f>
        <v>270000</v>
      </c>
      <c r="P28" s="98"/>
      <c r="Q28" s="94">
        <f>CAC!X7</f>
        <v>270000</v>
      </c>
      <c r="R28" s="98"/>
      <c r="S28" s="94">
        <f>CAC!Y7</f>
        <v>270000</v>
      </c>
      <c r="T28" s="98"/>
      <c r="U28" s="94">
        <f>CAC!Z7</f>
        <v>300000</v>
      </c>
      <c r="V28" s="98"/>
      <c r="W28" s="94">
        <f>CAC!AA7</f>
        <v>300000</v>
      </c>
      <c r="X28" s="98"/>
      <c r="Y28" s="94">
        <f>CAC!AB7</f>
        <v>300000</v>
      </c>
      <c r="Z28" s="98"/>
      <c r="AA28" s="25"/>
      <c r="AB28" s="26"/>
      <c r="AC28" s="26"/>
    </row>
    <row r="29">
      <c r="B29" s="31" t="s">
        <v>118</v>
      </c>
      <c r="C29" s="94">
        <f>CAC!Q38</f>
        <v>270000</v>
      </c>
      <c r="D29" s="94"/>
      <c r="E29" s="94">
        <f>CAC!R38</f>
        <v>270000</v>
      </c>
      <c r="F29" s="94"/>
      <c r="G29" s="94">
        <f>CAC!S38</f>
        <v>270000</v>
      </c>
      <c r="H29" s="94"/>
      <c r="I29" s="94">
        <f>CAC!T38</f>
        <v>325000</v>
      </c>
      <c r="J29" s="94"/>
      <c r="K29" s="94">
        <f>CAC!U38</f>
        <v>325000</v>
      </c>
      <c r="L29" s="94"/>
      <c r="M29" s="94">
        <f>CAC!V38</f>
        <v>325000</v>
      </c>
      <c r="N29" s="94"/>
      <c r="O29" s="94">
        <f>CAC!W38</f>
        <v>380000</v>
      </c>
      <c r="P29" s="94"/>
      <c r="Q29" s="94">
        <f>CAC!X38</f>
        <v>380000</v>
      </c>
      <c r="R29" s="94"/>
      <c r="S29" s="94">
        <f>CAC!Y38</f>
        <v>380000</v>
      </c>
      <c r="T29" s="94"/>
      <c r="U29" s="94">
        <f>CAC!Z38</f>
        <v>435000</v>
      </c>
      <c r="V29" s="94"/>
      <c r="W29" s="94">
        <f>CAC!AA38</f>
        <v>435000</v>
      </c>
      <c r="X29" s="94"/>
      <c r="Y29" s="94">
        <f>CAC!AB38</f>
        <v>435000</v>
      </c>
      <c r="Z29" s="94"/>
      <c r="AA29" s="25"/>
      <c r="AB29" s="26"/>
      <c r="AC29" s="26"/>
      <c r="AD29" s="41"/>
    </row>
    <row r="30">
      <c r="B30" s="31" t="s">
        <v>119</v>
      </c>
      <c r="C30" s="99">
        <f>C42</f>
        <v>109</v>
      </c>
      <c r="D30" s="100"/>
      <c r="E30" s="99">
        <f>E42</f>
        <v>117</v>
      </c>
      <c r="F30" s="100"/>
      <c r="G30" s="99">
        <f>G42</f>
        <v>122</v>
      </c>
      <c r="H30" s="100"/>
      <c r="I30" s="99">
        <f>I42</f>
        <v>134</v>
      </c>
      <c r="J30" s="100"/>
      <c r="K30" s="99">
        <f>K42</f>
        <v>138</v>
      </c>
      <c r="L30" s="100"/>
      <c r="M30" s="99">
        <f>M42</f>
        <v>140</v>
      </c>
      <c r="N30" s="100"/>
      <c r="O30" s="99">
        <f>O42</f>
        <v>146</v>
      </c>
      <c r="P30" s="100"/>
      <c r="Q30" s="99">
        <f>Q42</f>
        <v>151</v>
      </c>
      <c r="R30" s="100"/>
      <c r="S30" s="99">
        <f>S42</f>
        <v>154</v>
      </c>
      <c r="T30" s="100"/>
      <c r="U30" s="99">
        <f>U42</f>
        <v>161</v>
      </c>
      <c r="V30" s="100"/>
      <c r="W30" s="99">
        <f>W42</f>
        <v>164</v>
      </c>
      <c r="X30" s="100"/>
      <c r="Y30" s="99">
        <f>Y42</f>
        <v>168</v>
      </c>
      <c r="Z30" s="100"/>
      <c r="AA30" s="25"/>
      <c r="AB30" s="26"/>
      <c r="AC30" s="26"/>
    </row>
    <row r="31">
      <c r="B31" s="31" t="s">
        <v>120</v>
      </c>
      <c r="C31" s="94">
        <f>C7/C30</f>
        <v>13005.65749</v>
      </c>
      <c r="D31" s="94"/>
      <c r="E31" s="94">
        <f>E7/E30</f>
        <v>13744.79915</v>
      </c>
      <c r="F31" s="94"/>
      <c r="G31" s="94">
        <f>G7/G30</f>
        <v>13641.50944</v>
      </c>
      <c r="H31" s="94"/>
      <c r="I31" s="94">
        <f>I7/I30</f>
        <v>13558.73217</v>
      </c>
      <c r="J31" s="94"/>
      <c r="K31" s="94">
        <f>K7/K30</f>
        <v>14409.65243</v>
      </c>
      <c r="L31" s="94"/>
      <c r="M31" s="94">
        <f>M7/M30</f>
        <v>14730.66323</v>
      </c>
      <c r="N31" s="94"/>
      <c r="O31" s="94">
        <f>O7/O30</f>
        <v>15311.30362</v>
      </c>
      <c r="P31" s="94"/>
      <c r="Q31" s="94">
        <f>Q7/Q30</f>
        <v>15969.10419</v>
      </c>
      <c r="R31" s="94"/>
      <c r="S31" s="94">
        <f>S7/S30</f>
        <v>16043.80177</v>
      </c>
      <c r="T31" s="94"/>
      <c r="U31" s="94">
        <f>U7/U30</f>
        <v>16558.91872</v>
      </c>
      <c r="V31" s="94"/>
      <c r="W31" s="94">
        <f>W7/W30</f>
        <v>17271.71411</v>
      </c>
      <c r="X31" s="94"/>
      <c r="Y31" s="94">
        <f>Y7/Y30</f>
        <v>17317.82469</v>
      </c>
      <c r="Z31" s="94"/>
      <c r="AA31" s="43"/>
      <c r="AB31" s="26"/>
      <c r="AC31" s="26"/>
    </row>
    <row r="32">
      <c r="B32" s="31" t="s">
        <v>121</v>
      </c>
      <c r="C32" s="94">
        <f>C4/C30</f>
        <v>10613.30275</v>
      </c>
      <c r="D32" s="94"/>
      <c r="E32" s="94">
        <f>E4/E30</f>
        <v>10835.32906</v>
      </c>
      <c r="F32" s="94"/>
      <c r="G32" s="94">
        <f>G4/G30</f>
        <v>11218.34004</v>
      </c>
      <c r="H32" s="94"/>
      <c r="I32" s="94">
        <f>I4/I30</f>
        <v>11085.52322</v>
      </c>
      <c r="J32" s="94"/>
      <c r="K32" s="94">
        <f>K4/K30</f>
        <v>11534.55581</v>
      </c>
      <c r="L32" s="94"/>
      <c r="M32" s="94">
        <f>M4/M30</f>
        <v>12060.78227</v>
      </c>
      <c r="N32" s="94"/>
      <c r="O32" s="94">
        <f>O4/O30</f>
        <v>12373.58672</v>
      </c>
      <c r="P32" s="94"/>
      <c r="Q32" s="94">
        <f>Q4/Q30</f>
        <v>12675.1969</v>
      </c>
      <c r="R32" s="94"/>
      <c r="S32" s="94">
        <f>S4/S30</f>
        <v>13062.97926</v>
      </c>
      <c r="T32" s="94"/>
      <c r="U32" s="94">
        <f>U4/U30</f>
        <v>13233.82555</v>
      </c>
      <c r="V32" s="94"/>
      <c r="W32" s="94">
        <f>W4/W30</f>
        <v>13651.75476</v>
      </c>
      <c r="X32" s="94"/>
      <c r="Y32" s="94">
        <f>Y4/Y30</f>
        <v>13913.0231</v>
      </c>
      <c r="Z32" s="94"/>
      <c r="AA32" s="25"/>
      <c r="AB32" s="26"/>
      <c r="AC32" s="26"/>
    </row>
    <row r="33">
      <c r="B33" s="31" t="s">
        <v>122</v>
      </c>
      <c r="C33" s="101">
        <f>C34/1.38</f>
        <v>300.6697723</v>
      </c>
      <c r="D33" s="101"/>
      <c r="E33" s="101">
        <f>E34/1.38</f>
        <v>330.2517018</v>
      </c>
      <c r="F33" s="101"/>
      <c r="G33" s="101">
        <f>G34/1.38</f>
        <v>352.0054142</v>
      </c>
      <c r="H33" s="101"/>
      <c r="I33" s="101">
        <f>I34/1.38</f>
        <v>377.7829102</v>
      </c>
      <c r="J33" s="101"/>
      <c r="K33" s="101">
        <f>K34/1.38</f>
        <v>402.4349196</v>
      </c>
      <c r="L33" s="101"/>
      <c r="M33" s="101">
        <f>M34/1.38</f>
        <v>423.7874974</v>
      </c>
      <c r="N33" s="101"/>
      <c r="O33" s="101">
        <f>O34/1.38</f>
        <v>449.2234069</v>
      </c>
      <c r="P33" s="101"/>
      <c r="Q33" s="101">
        <f>Q34/1.38</f>
        <v>474.6896009</v>
      </c>
      <c r="R33" s="101"/>
      <c r="S33" s="101">
        <f>S34/1.37</f>
        <v>500.4240891</v>
      </c>
      <c r="T33" s="101"/>
      <c r="U33" s="101">
        <f>U34/1.4</f>
        <v>515.4621199</v>
      </c>
      <c r="V33" s="101"/>
      <c r="W33" s="101">
        <f>W34/1.4</f>
        <v>541.1927598</v>
      </c>
      <c r="X33" s="101"/>
      <c r="Y33" s="101">
        <f>Y34/1.4</f>
        <v>563.5656588</v>
      </c>
      <c r="Z33" s="101"/>
      <c r="AA33" s="25"/>
      <c r="AB33" s="26"/>
      <c r="AC33" s="26"/>
    </row>
    <row r="34">
      <c r="B34" s="31" t="s">
        <v>123</v>
      </c>
      <c r="C34" s="102">
        <f>CSV!C12+CSV!C85+CSV!C141+CSV!C202+CSV!C225+CAC!Q42+CAC!Q47+CAC!Q52+CAC!Q57+CAC!Q62+CAC!Q67</f>
        <v>414.9242857</v>
      </c>
      <c r="D34" s="98"/>
      <c r="E34" s="102">
        <f>CSV!D12+CSV!D85+CSV!D141+CSV!D202+CSV!D225+CAC!R42+CAC!R47+CAC!R52+CAC!R57+CAC!R62+CAC!R67</f>
        <v>455.7473485</v>
      </c>
      <c r="F34" s="98"/>
      <c r="G34" s="102">
        <f>CSV!E12+CSV!E85+CSV!E141+CSV!E202+CSV!E225+CAC!S42+CAC!S47+CAC!S52+CAC!S57+CAC!S62+CAC!S67</f>
        <v>485.7674716</v>
      </c>
      <c r="H34" s="98"/>
      <c r="I34" s="102">
        <f>CSV!F12+CSV!F85+CSV!F141+CSV!F202+CSV!F225+CAC!T42+CAC!T47+CAC!T52+CAC!T57+CAC!T62+CAC!T67</f>
        <v>521.340416</v>
      </c>
      <c r="J34" s="98"/>
      <c r="K34" s="102">
        <f>CSV!G12+CSV!G85+CSV!G141+CSV!G202+CSV!G225+CAC!U42+CAC!U47+CAC!U52+CAC!U57+CAC!U62+CAC!U67</f>
        <v>555.360189</v>
      </c>
      <c r="L34" s="98"/>
      <c r="M34" s="102">
        <f>CSV!H12+CSV!H85+CSV!H141+CSV!H202+CSV!H225+CAC!V42+CAC!V47+CAC!V52+CAC!V57+CAC!V62+CAC!V67</f>
        <v>584.8267464</v>
      </c>
      <c r="N34" s="98"/>
      <c r="O34" s="102">
        <f>CSV!I12+CSV!I85+CSV!I141+CSV!I202+CSV!I225+CAC!W42+CAC!W47+CAC!W52+CAC!W57+CAC!W62+CAC!W67</f>
        <v>619.9283016</v>
      </c>
      <c r="P34" s="98"/>
      <c r="Q34" s="102">
        <f>CSV!J12+CSV!J85+CSV!J141+CSV!J202+CSV!J225+CAC!X42+CAC!X47+CAC!X52+CAC!X57+CAC!X62+CAC!X67</f>
        <v>655.0716493</v>
      </c>
      <c r="R34" s="98"/>
      <c r="S34" s="102">
        <f>CSV!K12+CSV!K85+CSV!K141+CSV!K202+CSV!K225+CAC!Y42+CAC!Y47+CAC!Y52+CAC!Y57+CAC!Y62+CAC!Y67</f>
        <v>685.5810021</v>
      </c>
      <c r="T34" s="98"/>
      <c r="U34" s="102">
        <f>CSV!L12+CSV!L85+CSV!L141+CSV!L202+CSV!L225+CAC!Z42+CAC!Z47+CAC!Z52+CAC!Z57+CAC!Z62+CAC!Z67</f>
        <v>721.6469678</v>
      </c>
      <c r="V34" s="98"/>
      <c r="W34" s="102">
        <f>CSV!M12+CSV!M85+CSV!M141+CSV!M202+CSV!M225+CAC!AA42+CAC!AA47+CAC!AA52+CAC!AA57+CAC!AA62+CAC!AA67</f>
        <v>757.6698637</v>
      </c>
      <c r="X34" s="98"/>
      <c r="Y34" s="102">
        <f>CSV!N12+CSV!N85+CSV!N141+CSV!N202+CSV!N225+CAC!AB42+CAC!AB47+CAC!AB52+CAC!AB57+CAC!AB62+CAC!AB67</f>
        <v>788.9919223</v>
      </c>
      <c r="Z34" s="98"/>
      <c r="AA34" s="25"/>
      <c r="AB34" s="26"/>
      <c r="AC34" s="26"/>
    </row>
    <row r="35">
      <c r="B35" s="31" t="s">
        <v>124</v>
      </c>
      <c r="C35" s="94">
        <f>C7/C33</f>
        <v>4714.862608</v>
      </c>
      <c r="D35" s="98"/>
      <c r="E35" s="94">
        <f>E7/E33</f>
        <v>4869.441978</v>
      </c>
      <c r="F35" s="98"/>
      <c r="G35" s="94">
        <f>G7/G33</f>
        <v>4727.950436</v>
      </c>
      <c r="H35" s="98"/>
      <c r="I35" s="94">
        <f>I7/I33</f>
        <v>4809.296721</v>
      </c>
      <c r="J35" s="98"/>
      <c r="K35" s="94">
        <f>K7/K33</f>
        <v>4941.251213</v>
      </c>
      <c r="L35" s="98"/>
      <c r="M35" s="94">
        <f>M7/M33</f>
        <v>4866.337172</v>
      </c>
      <c r="N35" s="98"/>
      <c r="O35" s="94">
        <f>O7/O33</f>
        <v>4976.25523</v>
      </c>
      <c r="P35" s="98"/>
      <c r="Q35" s="94">
        <f>Q7/Q33</f>
        <v>5079.813687</v>
      </c>
      <c r="R35" s="98"/>
      <c r="S35" s="94">
        <f>S7/S33</f>
        <v>4937.303233</v>
      </c>
      <c r="T35" s="98"/>
      <c r="U35" s="94">
        <f>U7/U33</f>
        <v>5172.03071</v>
      </c>
      <c r="V35" s="98"/>
      <c r="W35" s="94">
        <f>W7/W33</f>
        <v>5233.922781</v>
      </c>
      <c r="X35" s="98"/>
      <c r="Y35" s="94">
        <f>Y7/Y33</f>
        <v>5162.476638</v>
      </c>
      <c r="Z35" s="98"/>
      <c r="AA35" s="25"/>
      <c r="AB35" s="26"/>
      <c r="AC35" s="26"/>
    </row>
    <row r="36">
      <c r="B36" s="31" t="s">
        <v>125</v>
      </c>
      <c r="C36" s="94">
        <f>C7/C34</f>
        <v>3416.567107</v>
      </c>
      <c r="D36" s="94"/>
      <c r="E36" s="94">
        <f>E7/E34</f>
        <v>3528.581143</v>
      </c>
      <c r="F36" s="94"/>
      <c r="G36" s="94">
        <f>G7/G34</f>
        <v>3426.051041</v>
      </c>
      <c r="H36" s="94"/>
      <c r="I36" s="94">
        <f>I7/I34</f>
        <v>3484.997624</v>
      </c>
      <c r="J36" s="94"/>
      <c r="K36" s="94">
        <f>K7/K34</f>
        <v>3580.616821</v>
      </c>
      <c r="L36" s="94"/>
      <c r="M36" s="94">
        <f>M7/M34</f>
        <v>3526.331284</v>
      </c>
      <c r="N36" s="94"/>
      <c r="O36" s="94">
        <f>O7/O34</f>
        <v>3605.982051</v>
      </c>
      <c r="P36" s="94"/>
      <c r="Q36" s="94">
        <f>Q7/Q34</f>
        <v>3681.024411</v>
      </c>
      <c r="R36" s="94"/>
      <c r="S36" s="94">
        <f>S7/S34</f>
        <v>3603.870973</v>
      </c>
      <c r="T36" s="94"/>
      <c r="U36" s="94">
        <f>U7/U34</f>
        <v>3694.30765</v>
      </c>
      <c r="V36" s="94"/>
      <c r="W36" s="94">
        <f>W7/W34</f>
        <v>3738.516272</v>
      </c>
      <c r="X36" s="94"/>
      <c r="Y36" s="94">
        <f>Y7/Y34</f>
        <v>3687.483313</v>
      </c>
      <c r="Z36" s="94"/>
      <c r="AA36" s="25"/>
      <c r="AB36" s="26"/>
      <c r="AC36" s="26"/>
    </row>
    <row r="37">
      <c r="B37" s="31" t="s">
        <v>126</v>
      </c>
      <c r="C37" s="94">
        <f>Revenue!D32</f>
        <v>104116.5</v>
      </c>
      <c r="D37" s="94"/>
      <c r="E37" s="94">
        <f>Revenue!E32</f>
        <v>114096.015</v>
      </c>
      <c r="F37" s="94"/>
      <c r="G37" s="94">
        <f>Revenue!F32</f>
        <v>123177.3737</v>
      </c>
      <c r="H37" s="94"/>
      <c r="I37" s="94">
        <f>Revenue!G32</f>
        <v>133691.41</v>
      </c>
      <c r="J37" s="94"/>
      <c r="K37" s="94">
        <f>Revenue!H32</f>
        <v>143259.1831</v>
      </c>
      <c r="L37" s="94"/>
      <c r="M37" s="94">
        <f>Revenue!I32</f>
        <v>151965.8566</v>
      </c>
      <c r="N37" s="94"/>
      <c r="O37" s="94">
        <f>Revenue!J32</f>
        <v>162588.9295</v>
      </c>
      <c r="P37" s="94"/>
      <c r="Q37" s="94">
        <f>Revenue!K32</f>
        <v>172255.9259</v>
      </c>
      <c r="R37" s="94"/>
      <c r="S37" s="94">
        <f>Revenue!L32</f>
        <v>181052.8926</v>
      </c>
      <c r="T37" s="94"/>
      <c r="U37" s="94">
        <f>Revenue!M32</f>
        <v>191758.1322</v>
      </c>
      <c r="V37" s="94"/>
      <c r="W37" s="94">
        <f>Revenue!N32</f>
        <v>201499.9003</v>
      </c>
      <c r="X37" s="94"/>
      <c r="Y37" s="94">
        <f>Revenue!O32</f>
        <v>210364.9093</v>
      </c>
      <c r="Z37" s="94"/>
      <c r="AA37" s="25"/>
      <c r="AB37" s="26"/>
      <c r="AC37" s="26"/>
    </row>
    <row r="38">
      <c r="B38" s="31" t="s">
        <v>127</v>
      </c>
      <c r="C38" s="103">
        <f>(C19+C9)/C7</f>
        <v>0.1641211846</v>
      </c>
      <c r="D38" s="103"/>
      <c r="E38" s="103">
        <f>(E19+E9)/E7</f>
        <v>0.1785420553</v>
      </c>
      <c r="F38" s="103"/>
      <c r="G38" s="103">
        <f>(G19+G9)/G7</f>
        <v>0.1756893733</v>
      </c>
      <c r="H38" s="103"/>
      <c r="I38" s="103">
        <f>(I19+I9)/I7</f>
        <v>0.1765546308</v>
      </c>
      <c r="J38" s="103"/>
      <c r="K38" s="103">
        <f>(K19+K9)/K7</f>
        <v>0.1750808307</v>
      </c>
      <c r="L38" s="103"/>
      <c r="M38" s="103">
        <f>(M19+M9)/M7</f>
        <v>0.1901899344</v>
      </c>
      <c r="N38" s="103"/>
      <c r="O38" s="103">
        <f>(O19+O9)/O7</f>
        <v>0.1788088314</v>
      </c>
      <c r="P38" s="103"/>
      <c r="Q38" s="103">
        <f>(Q19+Q9)/Q7</f>
        <v>0.2030320655</v>
      </c>
      <c r="R38" s="103"/>
      <c r="S38" s="103">
        <f>(S19+S9)/S7</f>
        <v>0.2032033268</v>
      </c>
      <c r="T38" s="103"/>
      <c r="U38" s="103">
        <f>(U19+U9)/U7</f>
        <v>0.2022532211</v>
      </c>
      <c r="V38" s="103"/>
      <c r="W38" s="103">
        <f>(W19+W9)/W7</f>
        <v>0.2111602019</v>
      </c>
      <c r="X38" s="103"/>
      <c r="Y38" s="103">
        <f>(Y19+Y9)/Y7</f>
        <v>0.2074284143</v>
      </c>
      <c r="Z38" s="103"/>
      <c r="AA38" s="104"/>
      <c r="AB38" s="26"/>
      <c r="AC38" s="26"/>
    </row>
    <row r="39">
      <c r="B39" s="31" t="s">
        <v>128</v>
      </c>
      <c r="C39" s="94">
        <f t="shared" ref="C39:C40" si="9">C21</f>
        <v>104202.6306</v>
      </c>
      <c r="D39" s="94"/>
      <c r="E39" s="94">
        <f t="shared" ref="E39:E40" si="10">E21</f>
        <v>207892.1079</v>
      </c>
      <c r="F39" s="94"/>
      <c r="G39" s="94">
        <f t="shared" ref="G39:G40" si="11">G21</f>
        <v>208398.5306</v>
      </c>
      <c r="H39" s="94"/>
      <c r="I39" s="94">
        <f t="shared" ref="I39:I40" si="12">I21</f>
        <v>256868.3404</v>
      </c>
      <c r="J39" s="94"/>
      <c r="K39" s="94">
        <f t="shared" ref="K39:K40" si="13">K21</f>
        <v>280254.8559</v>
      </c>
      <c r="L39" s="94"/>
      <c r="M39" s="94">
        <f t="shared" ref="M39:M40" si="14">M21</f>
        <v>353023.0798</v>
      </c>
      <c r="N39" s="94"/>
      <c r="O39" s="94">
        <f t="shared" ref="O39:O40" si="15">O21</f>
        <v>337547.9356</v>
      </c>
      <c r="P39" s="94"/>
      <c r="Q39" s="94">
        <f t="shared" ref="Q39:Q40" si="16">Q21</f>
        <v>481493.0292</v>
      </c>
      <c r="R39" s="94"/>
      <c r="S39" s="94">
        <f t="shared" ref="S39:S40" si="17">S21</f>
        <v>495430.7724</v>
      </c>
      <c r="T39" s="94"/>
      <c r="U39" s="94">
        <f t="shared" ref="U39:U40" si="18">U21</f>
        <v>533682.7557</v>
      </c>
      <c r="V39" s="94"/>
      <c r="W39" s="94">
        <f t="shared" ref="W39:W40" si="19">W21</f>
        <v>619181.433</v>
      </c>
      <c r="X39" s="94"/>
      <c r="Y39" s="94">
        <f t="shared" ref="Y39:Y40" si="20">Y21</f>
        <v>616280.7231</v>
      </c>
      <c r="Z39" s="94"/>
      <c r="AA39" s="25"/>
      <c r="AB39" s="26"/>
      <c r="AC39" s="26"/>
    </row>
    <row r="40">
      <c r="B40" s="31" t="s">
        <v>129</v>
      </c>
      <c r="C40" s="103">
        <f t="shared" si="9"/>
        <v>0.07350550611</v>
      </c>
      <c r="D40" s="103"/>
      <c r="E40" s="103">
        <f t="shared" si="10"/>
        <v>0.1292747609</v>
      </c>
      <c r="F40" s="103"/>
      <c r="G40" s="103">
        <f t="shared" si="11"/>
        <v>0.1252196236</v>
      </c>
      <c r="H40" s="103"/>
      <c r="I40" s="103">
        <f t="shared" si="12"/>
        <v>0.1413795839</v>
      </c>
      <c r="J40" s="103"/>
      <c r="K40" s="103">
        <f t="shared" si="13"/>
        <v>0.14093555</v>
      </c>
      <c r="L40" s="103"/>
      <c r="M40" s="103">
        <f t="shared" si="14"/>
        <v>0.1711798979</v>
      </c>
      <c r="N40" s="103"/>
      <c r="O40" s="103">
        <f t="shared" si="15"/>
        <v>0.1509977347</v>
      </c>
      <c r="P40" s="103"/>
      <c r="Q40" s="103">
        <f t="shared" si="16"/>
        <v>0.1996790503</v>
      </c>
      <c r="R40" s="103"/>
      <c r="S40" s="103">
        <f t="shared" si="17"/>
        <v>0.2005187413</v>
      </c>
      <c r="T40" s="103"/>
      <c r="U40" s="103">
        <f t="shared" si="18"/>
        <v>0.2001821364</v>
      </c>
      <c r="V40" s="103"/>
      <c r="W40" s="103">
        <f t="shared" si="19"/>
        <v>0.2185942008</v>
      </c>
      <c r="X40" s="103"/>
      <c r="Y40" s="103">
        <f t="shared" si="20"/>
        <v>0.2118243892</v>
      </c>
      <c r="Z40" s="103"/>
      <c r="AA40" s="104"/>
      <c r="AB40" s="32"/>
      <c r="AC40" s="26"/>
    </row>
    <row r="41">
      <c r="B41" s="31" t="s">
        <v>130</v>
      </c>
      <c r="C41" s="94">
        <f>535000+C39</f>
        <v>639202.6306</v>
      </c>
      <c r="D41" s="94"/>
      <c r="E41" s="94">
        <f>C41+E39</f>
        <v>847094.7384</v>
      </c>
      <c r="F41" s="94"/>
      <c r="G41" s="94">
        <f>E41+G39</f>
        <v>1055493.269</v>
      </c>
      <c r="H41" s="94"/>
      <c r="I41" s="94">
        <f>G41+I39</f>
        <v>1312361.609</v>
      </c>
      <c r="J41" s="94"/>
      <c r="K41" s="94">
        <f>I41+K39</f>
        <v>1592616.465</v>
      </c>
      <c r="L41" s="94"/>
      <c r="M41" s="94">
        <f>K41+M39</f>
        <v>1945639.545</v>
      </c>
      <c r="N41" s="94"/>
      <c r="O41" s="94">
        <f>M41+O39</f>
        <v>2283187.481</v>
      </c>
      <c r="P41" s="94"/>
      <c r="Q41" s="94">
        <f>O41+Q39</f>
        <v>2764680.51</v>
      </c>
      <c r="R41" s="94"/>
      <c r="S41" s="94">
        <f>Q41+S39</f>
        <v>3260111.282</v>
      </c>
      <c r="T41" s="94"/>
      <c r="U41" s="94">
        <f>S41+U39</f>
        <v>3793794.038</v>
      </c>
      <c r="V41" s="94"/>
      <c r="W41" s="94">
        <f>U41+W39</f>
        <v>4412975.471</v>
      </c>
      <c r="X41" s="94"/>
      <c r="Y41" s="94">
        <f>W41+Y39</f>
        <v>5029256.194</v>
      </c>
      <c r="Z41" s="94"/>
      <c r="AA41" s="25"/>
      <c r="AB41" s="32"/>
      <c r="AC41" s="26"/>
    </row>
    <row r="42">
      <c r="B42" s="31" t="s">
        <v>119</v>
      </c>
      <c r="C42" s="99">
        <f>CSV!D7+count('SG&amp;A'!C20:C22)+count('SG&amp;A'!C28:C37)+count(CAC!C22:C38)+count(CAC!C44:C59)+count(CAC!C66:C71)+count(CAC!C77:C86)</f>
        <v>109</v>
      </c>
      <c r="D42" s="99"/>
      <c r="E42" s="99">
        <f>CSV!E7+count('SG&amp;A'!D20:D22)+count('SG&amp;A'!D28:D37)+count(CAC!D22:D38)+count(CAC!D44:D59)+count(CAC!D66:D71)+count(CAC!D77:D86)</f>
        <v>117</v>
      </c>
      <c r="F42" s="99"/>
      <c r="G42" s="99">
        <f>CSV!F7+count('SG&amp;A'!E20:E22)+count('SG&amp;A'!E28:E37)+count(CAC!E22:E38)+count(CAC!E44:E59)+count(CAC!E66:E71)+count(CAC!E77:E86)</f>
        <v>122</v>
      </c>
      <c r="H42" s="99"/>
      <c r="I42" s="99">
        <f>CSV!G7+count('SG&amp;A'!F20:F22)+count('SG&amp;A'!F28:F37)+count(CAC!F22:F38)+count(CAC!F44:F59)+count(CAC!F66:F71)+count(CAC!F77:F86)</f>
        <v>134</v>
      </c>
      <c r="J42" s="99"/>
      <c r="K42" s="99">
        <f>CSV!H7+count('SG&amp;A'!G20:G22)+count('SG&amp;A'!G28:G37)+count(CAC!G22:G38)+count(CAC!G44:G59)+count(CAC!G66:G71)+count(CAC!G77:G86)</f>
        <v>138</v>
      </c>
      <c r="L42" s="99"/>
      <c r="M42" s="99">
        <f>CSV!I7+count('SG&amp;A'!H20:H22)+count('SG&amp;A'!H28:H37)+count(CAC!H22:H38)+count(CAC!H44:H59)+count(CAC!H66:H71)+count(CAC!H77:H86)</f>
        <v>140</v>
      </c>
      <c r="N42" s="99"/>
      <c r="O42" s="99">
        <f>CSV!J7+count('SG&amp;A'!I20:I22)+count('SG&amp;A'!I28:I37)+count(CAC!I22:I38)+count(CAC!I44:I59)+count(CAC!I66:I71)+count(CAC!I77:I86)</f>
        <v>146</v>
      </c>
      <c r="P42" s="99"/>
      <c r="Q42" s="99">
        <f>CSV!K7+count('SG&amp;A'!J20:J22)+count('SG&amp;A'!J28:J37)+count(CAC!J22:J38)+count(CAC!J44:J59)+count(CAC!J66:J71)+count(CAC!J77:J86)</f>
        <v>151</v>
      </c>
      <c r="R42" s="99"/>
      <c r="S42" s="99">
        <f>CSV!L7+count('SG&amp;A'!K20:K22)+count('SG&amp;A'!K28:K37)+count(CAC!K22:K38)+count(CAC!K44:K59)+count(CAC!K66:K71)+count(CAC!K77:K86)</f>
        <v>154</v>
      </c>
      <c r="T42" s="99"/>
      <c r="U42" s="99">
        <f>CSV!M7+count('SG&amp;A'!L20:L22)+count('SG&amp;A'!L28:L37)+count(CAC!L22:L38)+count(CAC!L44:L59)+count(CAC!L66:L71)+count(CAC!L77:L86)</f>
        <v>161</v>
      </c>
      <c r="V42" s="99"/>
      <c r="W42" s="99">
        <f>CSV!N7+count('SG&amp;A'!M20:M22)+count('SG&amp;A'!M28:M37)+count(CAC!M22:M38)+count(CAC!M44:M59)+count(CAC!M66:M71)+count(CAC!M77:M86)</f>
        <v>164</v>
      </c>
      <c r="X42" s="99"/>
      <c r="Y42" s="99">
        <f>CSV!O7+count('SG&amp;A'!N20:N22)+count('SG&amp;A'!N28:N37)+count(CAC!N22:N38)+count(CAC!N44:N59)+count(CAC!N66:N71)+count(CAC!N77:N86)</f>
        <v>168</v>
      </c>
      <c r="Z42" s="99"/>
      <c r="AA42" s="25"/>
      <c r="AB42" s="26"/>
      <c r="AC42" s="26"/>
    </row>
    <row r="43">
      <c r="B43" s="31" t="s">
        <v>131</v>
      </c>
      <c r="C43" s="99">
        <f>CSV!D7</f>
        <v>73</v>
      </c>
      <c r="D43" s="99"/>
      <c r="E43" s="99">
        <f>CSV!E7</f>
        <v>80</v>
      </c>
      <c r="F43" s="99"/>
      <c r="G43" s="99">
        <f>CSV!F7</f>
        <v>83</v>
      </c>
      <c r="H43" s="99"/>
      <c r="I43" s="99">
        <f>CSV!G7</f>
        <v>93</v>
      </c>
      <c r="J43" s="99"/>
      <c r="K43" s="99">
        <f>CSV!H7</f>
        <v>97</v>
      </c>
      <c r="L43" s="99"/>
      <c r="M43" s="99">
        <f>CSV!I7</f>
        <v>98</v>
      </c>
      <c r="N43" s="99"/>
      <c r="O43" s="99">
        <f>CSV!J7</f>
        <v>104</v>
      </c>
      <c r="P43" s="99"/>
      <c r="Q43" s="99">
        <f>CSV!K7</f>
        <v>108</v>
      </c>
      <c r="R43" s="99"/>
      <c r="S43" s="99">
        <f>CSV!L7</f>
        <v>110</v>
      </c>
      <c r="T43" s="99"/>
      <c r="U43" s="99">
        <f>CSV!M7</f>
        <v>116</v>
      </c>
      <c r="V43" s="99"/>
      <c r="W43" s="99">
        <f>CSV!N7</f>
        <v>119</v>
      </c>
      <c r="X43" s="99"/>
      <c r="Y43" s="99">
        <f>CSV!O7</f>
        <v>122</v>
      </c>
      <c r="Z43" s="99"/>
      <c r="AA43" s="25"/>
      <c r="AB43" s="26"/>
      <c r="AC43" s="26"/>
    </row>
    <row r="44">
      <c r="B44" s="31" t="s">
        <v>132</v>
      </c>
      <c r="C44" s="99">
        <f>CAC!C5</f>
        <v>24</v>
      </c>
      <c r="D44" s="99"/>
      <c r="E44" s="99">
        <f>CAC!D5</f>
        <v>25</v>
      </c>
      <c r="F44" s="99"/>
      <c r="G44" s="99">
        <f>CAC!E5</f>
        <v>27</v>
      </c>
      <c r="H44" s="99"/>
      <c r="I44" s="99">
        <f>CAC!F5</f>
        <v>30</v>
      </c>
      <c r="J44" s="99"/>
      <c r="K44" s="99">
        <f>CAC!G5</f>
        <v>30</v>
      </c>
      <c r="L44" s="99"/>
      <c r="M44" s="99">
        <f>CAC!H5</f>
        <v>30</v>
      </c>
      <c r="N44" s="99"/>
      <c r="O44" s="99">
        <f>CAC!I5</f>
        <v>30</v>
      </c>
      <c r="P44" s="99"/>
      <c r="Q44" s="99">
        <f>CAC!J5</f>
        <v>31</v>
      </c>
      <c r="R44" s="99"/>
      <c r="S44" s="99">
        <f>CAC!K5</f>
        <v>32</v>
      </c>
      <c r="T44" s="99"/>
      <c r="U44" s="99">
        <f>CAC!L5</f>
        <v>33</v>
      </c>
      <c r="V44" s="99"/>
      <c r="W44" s="99">
        <f>CAC!M5</f>
        <v>33</v>
      </c>
      <c r="X44" s="99"/>
      <c r="Y44" s="99">
        <f>CAC!N5</f>
        <v>34</v>
      </c>
      <c r="Z44" s="99"/>
      <c r="AA44" s="25"/>
      <c r="AB44" s="26"/>
      <c r="AC44" s="26"/>
    </row>
    <row r="45">
      <c r="B45" s="31" t="s">
        <v>133</v>
      </c>
      <c r="C45" s="99">
        <f>'SG&amp;A'!C5</f>
        <v>12</v>
      </c>
      <c r="D45" s="99"/>
      <c r="E45" s="99">
        <f>'SG&amp;A'!D5</f>
        <v>12</v>
      </c>
      <c r="F45" s="99"/>
      <c r="G45" s="99">
        <f>'SG&amp;A'!E5</f>
        <v>12</v>
      </c>
      <c r="H45" s="99"/>
      <c r="I45" s="99">
        <f>'SG&amp;A'!F5</f>
        <v>11</v>
      </c>
      <c r="J45" s="99"/>
      <c r="K45" s="99">
        <f>'SG&amp;A'!G5</f>
        <v>11</v>
      </c>
      <c r="L45" s="99"/>
      <c r="M45" s="99">
        <f>'SG&amp;A'!H5</f>
        <v>12</v>
      </c>
      <c r="N45" s="99"/>
      <c r="O45" s="99">
        <f>'SG&amp;A'!I5</f>
        <v>12</v>
      </c>
      <c r="P45" s="99"/>
      <c r="Q45" s="99">
        <f>'SG&amp;A'!J5</f>
        <v>12</v>
      </c>
      <c r="R45" s="99"/>
      <c r="S45" s="99">
        <f>'SG&amp;A'!K5</f>
        <v>12</v>
      </c>
      <c r="T45" s="99"/>
      <c r="U45" s="99">
        <f>'SG&amp;A'!L5</f>
        <v>12</v>
      </c>
      <c r="V45" s="99"/>
      <c r="W45" s="99">
        <f>'SG&amp;A'!M5</f>
        <v>12</v>
      </c>
      <c r="X45" s="99"/>
      <c r="Y45" s="99">
        <f>'SG&amp;A'!N5</f>
        <v>12</v>
      </c>
      <c r="Z45" s="99"/>
      <c r="AA45" s="25"/>
      <c r="AB45" s="26"/>
      <c r="AC45" s="26"/>
    </row>
    <row r="46">
      <c r="AA46" s="25"/>
      <c r="AB46" s="26"/>
      <c r="AC46" s="26"/>
    </row>
    <row r="47">
      <c r="B47" s="1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6"/>
    </row>
    <row r="48">
      <c r="B48" s="10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6"/>
    </row>
    <row r="49">
      <c r="B49" s="1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5"/>
      <c r="AB49" s="26"/>
      <c r="AC49" s="26"/>
    </row>
    <row r="50"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5"/>
      <c r="AB50" s="26"/>
      <c r="AC50" s="26"/>
    </row>
    <row r="51">
      <c r="B51" s="1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6"/>
      <c r="AC51" s="26"/>
    </row>
    <row r="52">
      <c r="B52" s="1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6"/>
    </row>
    <row r="53">
      <c r="B53" s="1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25"/>
      <c r="AB53" s="26"/>
      <c r="AC53" s="26"/>
    </row>
    <row r="54">
      <c r="AA54" s="25"/>
      <c r="AB54" s="26"/>
      <c r="AC54" s="26"/>
    </row>
    <row r="55">
      <c r="AA55" s="25"/>
      <c r="AB55" s="26"/>
      <c r="AC55" s="26"/>
    </row>
    <row r="56">
      <c r="AA56" s="25"/>
      <c r="AB56" s="26"/>
      <c r="AC56" s="26"/>
    </row>
    <row r="57">
      <c r="AA57" s="25"/>
      <c r="AB57" s="26"/>
      <c r="AC57" s="26"/>
    </row>
    <row r="58">
      <c r="AA58" s="25"/>
      <c r="AB58" s="26"/>
      <c r="AC58" s="26"/>
    </row>
    <row r="59">
      <c r="AA59" s="25"/>
      <c r="AB59" s="26"/>
      <c r="AC59" s="26"/>
    </row>
    <row r="60">
      <c r="AA60" s="25"/>
      <c r="AB60" s="26"/>
      <c r="AC60" s="26"/>
    </row>
    <row r="61">
      <c r="AA61" s="25"/>
      <c r="AB61" s="26"/>
      <c r="AC61" s="26"/>
    </row>
    <row r="62">
      <c r="AA62" s="25"/>
      <c r="AB62" s="26"/>
      <c r="AC62" s="26"/>
    </row>
    <row r="63">
      <c r="AA63" s="25"/>
      <c r="AB63" s="26"/>
      <c r="AC63" s="26"/>
    </row>
    <row r="64">
      <c r="AA64" s="25"/>
      <c r="AB64" s="26"/>
      <c r="AC64" s="26"/>
    </row>
    <row r="65">
      <c r="AA65" s="25"/>
      <c r="AB65" s="26"/>
      <c r="AC65" s="26"/>
    </row>
    <row r="66">
      <c r="AA66" s="25"/>
      <c r="AB66" s="26"/>
      <c r="AC66" s="26"/>
    </row>
    <row r="67">
      <c r="AA67" s="25"/>
      <c r="AB67" s="26"/>
      <c r="AC67" s="26"/>
    </row>
    <row r="68">
      <c r="AA68" s="25"/>
      <c r="AB68" s="26"/>
      <c r="AC68" s="26"/>
    </row>
    <row r="69">
      <c r="AA69" s="25"/>
      <c r="AB69" s="26"/>
      <c r="AC69" s="26"/>
    </row>
    <row r="70">
      <c r="AA70" s="25"/>
      <c r="AB70" s="26"/>
      <c r="AC70" s="26"/>
    </row>
    <row r="71">
      <c r="AA71" s="25"/>
      <c r="AB71" s="26"/>
      <c r="AC71" s="26"/>
    </row>
    <row r="72">
      <c r="AA72" s="25"/>
      <c r="AB72" s="26"/>
      <c r="AC72" s="26"/>
    </row>
    <row r="73">
      <c r="AA73" s="25"/>
      <c r="AB73" s="26"/>
      <c r="AC73" s="26"/>
    </row>
    <row r="74">
      <c r="AA74" s="25"/>
      <c r="AB74" s="26"/>
      <c r="AC74" s="26"/>
    </row>
    <row r="75">
      <c r="AA75" s="25"/>
      <c r="AB75" s="26"/>
      <c r="AC75" s="26"/>
    </row>
    <row r="76">
      <c r="AA76" s="25"/>
      <c r="AB76" s="26"/>
      <c r="AC76" s="26"/>
    </row>
    <row r="77">
      <c r="AA77" s="25"/>
      <c r="AB77" s="26"/>
      <c r="AC77" s="26"/>
    </row>
    <row r="78">
      <c r="AA78" s="25"/>
      <c r="AB78" s="26"/>
      <c r="AC78" s="26"/>
    </row>
    <row r="79">
      <c r="AA79" s="25"/>
      <c r="AB79" s="26"/>
      <c r="AC79" s="26"/>
    </row>
    <row r="80">
      <c r="AA80" s="25"/>
      <c r="AB80" s="26"/>
      <c r="AC80" s="26"/>
    </row>
    <row r="81">
      <c r="AA81" s="25"/>
      <c r="AB81" s="26"/>
      <c r="AC81" s="26"/>
    </row>
    <row r="82">
      <c r="AA82" s="25"/>
      <c r="AB82" s="26"/>
      <c r="AC82" s="26"/>
    </row>
    <row r="83">
      <c r="AA83" s="25"/>
      <c r="AB83" s="26"/>
      <c r="AC83" s="26"/>
    </row>
    <row r="84">
      <c r="AA84" s="25"/>
      <c r="AB84" s="26"/>
      <c r="AC84" s="26"/>
    </row>
    <row r="85">
      <c r="AA85" s="25"/>
      <c r="AB85" s="26"/>
      <c r="AC85" s="26"/>
    </row>
    <row r="86">
      <c r="AA86" s="25"/>
      <c r="AB86" s="26"/>
      <c r="AC86" s="26"/>
    </row>
    <row r="87">
      <c r="AA87" s="25"/>
      <c r="AB87" s="26"/>
      <c r="AC87" s="26"/>
    </row>
    <row r="88">
      <c r="AA88" s="25"/>
      <c r="AB88" s="26"/>
      <c r="AC88" s="26"/>
    </row>
    <row r="89">
      <c r="AA89" s="25"/>
      <c r="AB89" s="26"/>
      <c r="AC89" s="26"/>
    </row>
    <row r="90">
      <c r="AA90" s="25"/>
      <c r="AB90" s="26"/>
      <c r="AC90" s="26"/>
    </row>
    <row r="91">
      <c r="AA91" s="25"/>
      <c r="AB91" s="26"/>
      <c r="AC91" s="26"/>
    </row>
    <row r="92">
      <c r="AA92" s="25"/>
      <c r="AB92" s="26"/>
      <c r="AC92" s="26"/>
    </row>
    <row r="93">
      <c r="AA93" s="25"/>
      <c r="AB93" s="26"/>
      <c r="AC93" s="26"/>
    </row>
    <row r="94">
      <c r="AA94" s="25"/>
      <c r="AB94" s="26"/>
      <c r="AC94" s="26"/>
    </row>
    <row r="95">
      <c r="AA95" s="25"/>
      <c r="AB95" s="26"/>
      <c r="AC95" s="26"/>
    </row>
    <row r="96">
      <c r="AA96" s="25"/>
      <c r="AB96" s="26"/>
      <c r="AC96" s="26"/>
    </row>
    <row r="97">
      <c r="AA97" s="25"/>
      <c r="AB97" s="26"/>
      <c r="AC97" s="26"/>
    </row>
    <row r="98">
      <c r="AA98" s="25"/>
      <c r="AB98" s="26"/>
      <c r="AC98" s="26"/>
    </row>
    <row r="99">
      <c r="AA99" s="25"/>
      <c r="AB99" s="26"/>
      <c r="AC99" s="26"/>
    </row>
    <row r="100">
      <c r="AA100" s="25"/>
      <c r="AB100" s="26"/>
      <c r="AC100" s="26"/>
    </row>
    <row r="101">
      <c r="AA101" s="25"/>
      <c r="AB101" s="26"/>
      <c r="AC101" s="26"/>
    </row>
    <row r="102">
      <c r="AA102" s="25"/>
      <c r="AB102" s="26"/>
      <c r="AC102" s="26"/>
    </row>
    <row r="103">
      <c r="AA103" s="25"/>
      <c r="AB103" s="26"/>
      <c r="AC103" s="26"/>
    </row>
    <row r="104">
      <c r="AA104" s="25"/>
      <c r="AB104" s="26"/>
      <c r="AC104" s="26"/>
    </row>
    <row r="105">
      <c r="AA105" s="25"/>
      <c r="AB105" s="26"/>
      <c r="AC105" s="26"/>
    </row>
    <row r="106">
      <c r="AA106" s="25"/>
      <c r="AB106" s="26"/>
      <c r="AC106" s="26"/>
    </row>
    <row r="107">
      <c r="AA107" s="25"/>
      <c r="AB107" s="26"/>
      <c r="AC107" s="26"/>
    </row>
    <row r="108">
      <c r="AA108" s="25"/>
      <c r="AB108" s="26"/>
      <c r="AC108" s="26"/>
    </row>
    <row r="109">
      <c r="AA109" s="25"/>
      <c r="AB109" s="26"/>
      <c r="AC109" s="26"/>
    </row>
    <row r="110">
      <c r="AA110" s="25"/>
      <c r="AB110" s="26"/>
      <c r="AC110" s="26"/>
    </row>
    <row r="111">
      <c r="AA111" s="25"/>
      <c r="AB111" s="26"/>
      <c r="AC111" s="26"/>
    </row>
    <row r="112">
      <c r="AA112" s="25"/>
      <c r="AB112" s="26"/>
      <c r="AC112" s="26"/>
    </row>
    <row r="113">
      <c r="AA113" s="25"/>
      <c r="AB113" s="26"/>
      <c r="AC113" s="26"/>
    </row>
    <row r="114">
      <c r="AA114" s="25"/>
      <c r="AB114" s="26"/>
      <c r="AC114" s="26"/>
    </row>
    <row r="115">
      <c r="AA115" s="25"/>
      <c r="AB115" s="26"/>
      <c r="AC115" s="26"/>
    </row>
    <row r="116">
      <c r="AA116" s="25"/>
      <c r="AB116" s="26"/>
      <c r="AC116" s="26"/>
    </row>
    <row r="117">
      <c r="AA117" s="25"/>
      <c r="AB117" s="26"/>
      <c r="AC117" s="26"/>
    </row>
    <row r="118">
      <c r="AA118" s="25"/>
      <c r="AB118" s="26"/>
      <c r="AC118" s="26"/>
    </row>
    <row r="119">
      <c r="AA119" s="25"/>
      <c r="AB119" s="26"/>
      <c r="AC119" s="26"/>
    </row>
    <row r="120">
      <c r="AA120" s="25"/>
      <c r="AB120" s="26"/>
      <c r="AC120" s="26"/>
    </row>
    <row r="121">
      <c r="AA121" s="25"/>
      <c r="AB121" s="26"/>
      <c r="AC121" s="26"/>
    </row>
    <row r="122">
      <c r="AA122" s="25"/>
      <c r="AB122" s="26"/>
      <c r="AC122" s="26"/>
    </row>
    <row r="123">
      <c r="AA123" s="25"/>
      <c r="AB123" s="26"/>
      <c r="AC123" s="26"/>
    </row>
    <row r="124">
      <c r="AA124" s="25"/>
      <c r="AB124" s="26"/>
      <c r="AC124" s="26"/>
    </row>
    <row r="125">
      <c r="AA125" s="25"/>
      <c r="AB125" s="26"/>
      <c r="AC125" s="26"/>
    </row>
    <row r="126">
      <c r="AA126" s="25"/>
      <c r="AB126" s="26"/>
      <c r="AC126" s="26"/>
    </row>
    <row r="127">
      <c r="AA127" s="25"/>
      <c r="AB127" s="26"/>
      <c r="AC127" s="26"/>
    </row>
    <row r="128">
      <c r="AA128" s="25"/>
      <c r="AB128" s="26"/>
      <c r="AC128" s="26"/>
    </row>
    <row r="129">
      <c r="AA129" s="25"/>
      <c r="AB129" s="26"/>
      <c r="AC129" s="26"/>
    </row>
    <row r="130">
      <c r="AA130" s="25"/>
      <c r="AB130" s="26"/>
      <c r="AC130" s="26"/>
    </row>
    <row r="131">
      <c r="AA131" s="25"/>
      <c r="AB131" s="26"/>
      <c r="AC131" s="26"/>
    </row>
    <row r="132">
      <c r="AA132" s="25"/>
      <c r="AB132" s="26"/>
      <c r="AC132" s="26"/>
    </row>
    <row r="133">
      <c r="AA133" s="25"/>
      <c r="AB133" s="26"/>
      <c r="AC133" s="26"/>
    </row>
    <row r="134">
      <c r="AA134" s="25"/>
      <c r="AB134" s="26"/>
      <c r="AC134" s="26"/>
    </row>
    <row r="135">
      <c r="AA135" s="25"/>
      <c r="AB135" s="26"/>
      <c r="AC135" s="26"/>
    </row>
    <row r="136">
      <c r="AA136" s="25"/>
      <c r="AB136" s="26"/>
      <c r="AC136" s="26"/>
    </row>
    <row r="137">
      <c r="AA137" s="25"/>
      <c r="AB137" s="26"/>
      <c r="AC137" s="26"/>
    </row>
    <row r="138">
      <c r="AA138" s="25"/>
      <c r="AB138" s="26"/>
      <c r="AC138" s="26"/>
    </row>
    <row r="139">
      <c r="AA139" s="25"/>
      <c r="AB139" s="26"/>
      <c r="AC139" s="26"/>
    </row>
    <row r="140">
      <c r="AA140" s="25"/>
      <c r="AB140" s="26"/>
      <c r="AC140" s="26"/>
    </row>
    <row r="141">
      <c r="AA141" s="25"/>
      <c r="AB141" s="26"/>
      <c r="AC141" s="26"/>
    </row>
    <row r="142">
      <c r="AA142" s="25"/>
      <c r="AB142" s="26"/>
      <c r="AC142" s="26"/>
    </row>
    <row r="143">
      <c r="AA143" s="25"/>
      <c r="AB143" s="26"/>
      <c r="AC143" s="26"/>
    </row>
    <row r="144">
      <c r="AA144" s="25"/>
      <c r="AB144" s="26"/>
      <c r="AC144" s="26"/>
    </row>
    <row r="145">
      <c r="AA145" s="25"/>
      <c r="AB145" s="26"/>
      <c r="AC145" s="26"/>
    </row>
    <row r="146">
      <c r="AA146" s="25"/>
      <c r="AB146" s="26"/>
      <c r="AC146" s="26"/>
    </row>
    <row r="147">
      <c r="AA147" s="25"/>
      <c r="AB147" s="26"/>
      <c r="AC147" s="26"/>
    </row>
    <row r="148">
      <c r="AA148" s="25"/>
      <c r="AB148" s="26"/>
      <c r="AC148" s="26"/>
    </row>
    <row r="149">
      <c r="AA149" s="25"/>
      <c r="AB149" s="26"/>
      <c r="AC149" s="26"/>
    </row>
    <row r="150">
      <c r="AA150" s="25"/>
      <c r="AB150" s="26"/>
      <c r="AC150" s="26"/>
    </row>
    <row r="151">
      <c r="AA151" s="25"/>
      <c r="AB151" s="26"/>
      <c r="AC151" s="26"/>
    </row>
    <row r="152">
      <c r="AA152" s="25"/>
      <c r="AB152" s="26"/>
      <c r="AC152" s="26"/>
    </row>
    <row r="153">
      <c r="AA153" s="25"/>
      <c r="AB153" s="26"/>
      <c r="AC153" s="26"/>
    </row>
    <row r="154">
      <c r="AA154" s="25"/>
      <c r="AB154" s="26"/>
      <c r="AC154" s="26"/>
    </row>
    <row r="155">
      <c r="AA155" s="25"/>
      <c r="AB155" s="26"/>
      <c r="AC155" s="26"/>
    </row>
    <row r="156">
      <c r="AA156" s="25"/>
      <c r="AB156" s="26"/>
      <c r="AC156" s="26"/>
    </row>
    <row r="157">
      <c r="AA157" s="25"/>
      <c r="AB157" s="26"/>
      <c r="AC157" s="26"/>
    </row>
    <row r="158">
      <c r="AA158" s="25"/>
      <c r="AB158" s="26"/>
      <c r="AC158" s="26"/>
    </row>
    <row r="159">
      <c r="AA159" s="25"/>
      <c r="AB159" s="26"/>
      <c r="AC159" s="26"/>
    </row>
    <row r="160">
      <c r="AA160" s="25"/>
      <c r="AB160" s="26"/>
      <c r="AC160" s="26"/>
    </row>
    <row r="161">
      <c r="AA161" s="25"/>
      <c r="AB161" s="26"/>
      <c r="AC161" s="26"/>
    </row>
    <row r="162">
      <c r="AA162" s="25"/>
      <c r="AB162" s="26"/>
      <c r="AC162" s="26"/>
    </row>
    <row r="163">
      <c r="AA163" s="25"/>
      <c r="AB163" s="26"/>
      <c r="AC163" s="26"/>
    </row>
    <row r="164">
      <c r="AA164" s="25"/>
      <c r="AB164" s="26"/>
      <c r="AC164" s="26"/>
    </row>
    <row r="165">
      <c r="AA165" s="25"/>
      <c r="AB165" s="26"/>
      <c r="AC165" s="26"/>
    </row>
    <row r="166">
      <c r="AA166" s="25"/>
      <c r="AB166" s="26"/>
      <c r="AC166" s="26"/>
    </row>
    <row r="167">
      <c r="AA167" s="25"/>
      <c r="AB167" s="26"/>
      <c r="AC167" s="26"/>
    </row>
    <row r="168">
      <c r="AA168" s="25"/>
      <c r="AB168" s="26"/>
      <c r="AC168" s="26"/>
    </row>
    <row r="169">
      <c r="AA169" s="25"/>
      <c r="AB169" s="26"/>
      <c r="AC169" s="26"/>
    </row>
    <row r="170">
      <c r="AA170" s="25"/>
      <c r="AB170" s="26"/>
      <c r="AC170" s="26"/>
    </row>
    <row r="171">
      <c r="AA171" s="25"/>
      <c r="AB171" s="26"/>
      <c r="AC171" s="26"/>
    </row>
    <row r="172">
      <c r="AA172" s="25"/>
      <c r="AB172" s="26"/>
      <c r="AC172" s="26"/>
    </row>
    <row r="173">
      <c r="AA173" s="25"/>
      <c r="AB173" s="26"/>
      <c r="AC173" s="26"/>
    </row>
    <row r="174">
      <c r="AA174" s="25"/>
      <c r="AB174" s="26"/>
      <c r="AC174" s="26"/>
    </row>
    <row r="175">
      <c r="AA175" s="25"/>
      <c r="AB175" s="26"/>
      <c r="AC175" s="26"/>
    </row>
    <row r="176">
      <c r="AA176" s="25"/>
      <c r="AB176" s="26"/>
      <c r="AC176" s="26"/>
    </row>
    <row r="177">
      <c r="AA177" s="25"/>
      <c r="AB177" s="26"/>
      <c r="AC177" s="26"/>
    </row>
    <row r="178">
      <c r="AA178" s="25"/>
      <c r="AB178" s="26"/>
      <c r="AC178" s="26"/>
    </row>
    <row r="179">
      <c r="AA179" s="25"/>
      <c r="AB179" s="26"/>
      <c r="AC179" s="26"/>
    </row>
    <row r="180">
      <c r="AA180" s="25"/>
      <c r="AB180" s="26"/>
      <c r="AC180" s="26"/>
    </row>
    <row r="181">
      <c r="AA181" s="25"/>
      <c r="AB181" s="26"/>
      <c r="AC181" s="26"/>
    </row>
    <row r="182">
      <c r="AA182" s="25"/>
      <c r="AB182" s="26"/>
      <c r="AC182" s="26"/>
    </row>
    <row r="183">
      <c r="AA183" s="25"/>
      <c r="AB183" s="26"/>
      <c r="AC183" s="26"/>
    </row>
    <row r="184">
      <c r="AA184" s="25"/>
      <c r="AB184" s="26"/>
      <c r="AC184" s="26"/>
    </row>
    <row r="185">
      <c r="AA185" s="25"/>
      <c r="AB185" s="26"/>
      <c r="AC185" s="26"/>
    </row>
    <row r="186">
      <c r="AA186" s="25"/>
      <c r="AB186" s="26"/>
      <c r="AC186" s="26"/>
    </row>
    <row r="187">
      <c r="AA187" s="25"/>
      <c r="AB187" s="26"/>
      <c r="AC187" s="26"/>
    </row>
    <row r="188">
      <c r="AA188" s="25"/>
      <c r="AB188" s="26"/>
      <c r="AC188" s="26"/>
    </row>
    <row r="189">
      <c r="AA189" s="25"/>
      <c r="AB189" s="26"/>
      <c r="AC189" s="26"/>
    </row>
    <row r="190">
      <c r="AA190" s="25"/>
      <c r="AB190" s="26"/>
      <c r="AC190" s="26"/>
    </row>
    <row r="191">
      <c r="AA191" s="25"/>
      <c r="AB191" s="26"/>
      <c r="AC191" s="26"/>
    </row>
    <row r="192">
      <c r="AA192" s="25"/>
      <c r="AB192" s="26"/>
      <c r="AC192" s="26"/>
    </row>
    <row r="193">
      <c r="AA193" s="25"/>
      <c r="AB193" s="26"/>
      <c r="AC193" s="26"/>
    </row>
    <row r="194">
      <c r="AA194" s="25"/>
      <c r="AB194" s="26"/>
      <c r="AC194" s="26"/>
    </row>
    <row r="195">
      <c r="AA195" s="25"/>
      <c r="AB195" s="26"/>
      <c r="AC195" s="26"/>
    </row>
    <row r="196">
      <c r="AA196" s="25"/>
      <c r="AB196" s="26"/>
      <c r="AC196" s="26"/>
    </row>
    <row r="197">
      <c r="AA197" s="25"/>
      <c r="AB197" s="26"/>
      <c r="AC197" s="26"/>
    </row>
    <row r="198">
      <c r="AA198" s="25"/>
      <c r="AB198" s="26"/>
      <c r="AC198" s="26"/>
    </row>
    <row r="199">
      <c r="AA199" s="25"/>
      <c r="AB199" s="26"/>
      <c r="AC199" s="26"/>
    </row>
    <row r="200">
      <c r="AA200" s="25"/>
      <c r="AB200" s="26"/>
      <c r="AC200" s="26"/>
    </row>
    <row r="201">
      <c r="AA201" s="25"/>
      <c r="AB201" s="26"/>
      <c r="AC201" s="26"/>
    </row>
    <row r="202">
      <c r="AA202" s="25"/>
      <c r="AB202" s="26"/>
      <c r="AC202" s="26"/>
    </row>
    <row r="203">
      <c r="AA203" s="25"/>
      <c r="AB203" s="26"/>
      <c r="AC203" s="26"/>
    </row>
    <row r="204">
      <c r="AA204" s="25"/>
      <c r="AB204" s="26"/>
      <c r="AC204" s="26"/>
    </row>
    <row r="205">
      <c r="AA205" s="25"/>
      <c r="AB205" s="26"/>
      <c r="AC205" s="26"/>
    </row>
    <row r="206">
      <c r="AA206" s="25"/>
      <c r="AB206" s="26"/>
      <c r="AC206" s="26"/>
    </row>
    <row r="207">
      <c r="AA207" s="25"/>
      <c r="AB207" s="26"/>
      <c r="AC207" s="26"/>
    </row>
    <row r="208">
      <c r="AA208" s="25"/>
      <c r="AB208" s="26"/>
      <c r="AC208" s="26"/>
    </row>
    <row r="209">
      <c r="AA209" s="25"/>
      <c r="AB209" s="26"/>
      <c r="AC209" s="26"/>
    </row>
    <row r="210">
      <c r="AA210" s="25"/>
      <c r="AB210" s="26"/>
      <c r="AC210" s="26"/>
    </row>
    <row r="211">
      <c r="AA211" s="25"/>
      <c r="AB211" s="26"/>
      <c r="AC211" s="26"/>
    </row>
    <row r="212">
      <c r="AA212" s="25"/>
      <c r="AB212" s="26"/>
      <c r="AC212" s="26"/>
    </row>
    <row r="213">
      <c r="AA213" s="25"/>
      <c r="AB213" s="26"/>
      <c r="AC213" s="26"/>
    </row>
    <row r="214">
      <c r="AA214" s="25"/>
      <c r="AB214" s="26"/>
      <c r="AC214" s="26"/>
    </row>
    <row r="215">
      <c r="AA215" s="25"/>
      <c r="AB215" s="26"/>
      <c r="AC215" s="26"/>
    </row>
    <row r="216">
      <c r="AA216" s="25"/>
      <c r="AB216" s="26"/>
      <c r="AC216" s="26"/>
    </row>
    <row r="217">
      <c r="AA217" s="25"/>
      <c r="AB217" s="26"/>
      <c r="AC217" s="26"/>
    </row>
    <row r="218">
      <c r="AA218" s="25"/>
      <c r="AB218" s="26"/>
      <c r="AC218" s="26"/>
    </row>
    <row r="219">
      <c r="AA219" s="25"/>
      <c r="AB219" s="26"/>
      <c r="AC219" s="26"/>
    </row>
    <row r="220">
      <c r="AA220" s="25"/>
      <c r="AB220" s="26"/>
      <c r="AC220" s="26"/>
    </row>
    <row r="221">
      <c r="AA221" s="25"/>
      <c r="AB221" s="26"/>
      <c r="AC221" s="26"/>
    </row>
    <row r="222">
      <c r="AA222" s="25"/>
      <c r="AB222" s="26"/>
      <c r="AC222" s="26"/>
    </row>
    <row r="223">
      <c r="AA223" s="25"/>
      <c r="AB223" s="26"/>
      <c r="AC223" s="26"/>
    </row>
    <row r="224">
      <c r="AA224" s="25"/>
      <c r="AB224" s="26"/>
      <c r="AC224" s="26"/>
    </row>
    <row r="225">
      <c r="AA225" s="25"/>
      <c r="AB225" s="26"/>
      <c r="AC225" s="26"/>
    </row>
    <row r="226">
      <c r="AA226" s="25"/>
      <c r="AB226" s="26"/>
      <c r="AC226" s="26"/>
    </row>
    <row r="227">
      <c r="AA227" s="25"/>
      <c r="AB227" s="26"/>
      <c r="AC227" s="26"/>
    </row>
    <row r="228">
      <c r="AA228" s="25"/>
      <c r="AB228" s="26"/>
      <c r="AC228" s="26"/>
    </row>
    <row r="229">
      <c r="AA229" s="25"/>
      <c r="AB229" s="26"/>
      <c r="AC229" s="26"/>
    </row>
    <row r="230">
      <c r="AA230" s="25"/>
      <c r="AB230" s="26"/>
      <c r="AC230" s="26"/>
    </row>
    <row r="231">
      <c r="AA231" s="25"/>
      <c r="AB231" s="26"/>
      <c r="AC231" s="26"/>
    </row>
    <row r="232">
      <c r="AA232" s="25"/>
      <c r="AB232" s="26"/>
      <c r="AC232" s="26"/>
    </row>
    <row r="233">
      <c r="AA233" s="25"/>
      <c r="AB233" s="26"/>
      <c r="AC233" s="26"/>
    </row>
    <row r="234">
      <c r="AA234" s="25"/>
      <c r="AB234" s="26"/>
      <c r="AC234" s="26"/>
    </row>
    <row r="235">
      <c r="AA235" s="25"/>
      <c r="AB235" s="26"/>
      <c r="AC235" s="26"/>
    </row>
    <row r="236">
      <c r="AA236" s="25"/>
      <c r="AB236" s="26"/>
      <c r="AC236" s="26"/>
    </row>
    <row r="237">
      <c r="AA237" s="25"/>
      <c r="AB237" s="26"/>
      <c r="AC237" s="26"/>
    </row>
    <row r="238">
      <c r="AA238" s="25"/>
      <c r="AB238" s="26"/>
      <c r="AC238" s="26"/>
    </row>
    <row r="239">
      <c r="AA239" s="25"/>
      <c r="AB239" s="26"/>
      <c r="AC239" s="26"/>
    </row>
    <row r="240">
      <c r="AA240" s="25"/>
      <c r="AB240" s="26"/>
      <c r="AC240" s="26"/>
    </row>
    <row r="241">
      <c r="AA241" s="25"/>
      <c r="AB241" s="26"/>
      <c r="AC241" s="26"/>
    </row>
    <row r="242">
      <c r="AA242" s="25"/>
      <c r="AB242" s="26"/>
      <c r="AC242" s="26"/>
    </row>
    <row r="243">
      <c r="AA243" s="25"/>
      <c r="AB243" s="26"/>
      <c r="AC243" s="26"/>
    </row>
    <row r="244">
      <c r="AA244" s="25"/>
      <c r="AB244" s="26"/>
      <c r="AC244" s="26"/>
    </row>
    <row r="245">
      <c r="AA245" s="25"/>
      <c r="AB245" s="26"/>
      <c r="AC245" s="26"/>
    </row>
    <row r="246">
      <c r="AA246" s="25"/>
      <c r="AB246" s="26"/>
      <c r="AC246" s="26"/>
    </row>
    <row r="247">
      <c r="AA247" s="25"/>
      <c r="AB247" s="26"/>
      <c r="AC247" s="26"/>
    </row>
    <row r="248">
      <c r="AA248" s="25"/>
      <c r="AB248" s="26"/>
      <c r="AC248" s="26"/>
    </row>
    <row r="249">
      <c r="AA249" s="25"/>
      <c r="AB249" s="26"/>
      <c r="AC249" s="26"/>
    </row>
    <row r="250">
      <c r="AA250" s="25"/>
      <c r="AB250" s="26"/>
      <c r="AC250" s="26"/>
    </row>
    <row r="251">
      <c r="AA251" s="25"/>
      <c r="AB251" s="26"/>
      <c r="AC251" s="26"/>
    </row>
    <row r="252">
      <c r="AA252" s="25"/>
      <c r="AB252" s="26"/>
      <c r="AC252" s="26"/>
    </row>
    <row r="253">
      <c r="AA253" s="25"/>
      <c r="AB253" s="26"/>
      <c r="AC253" s="26"/>
    </row>
    <row r="254">
      <c r="AA254" s="25"/>
      <c r="AB254" s="26"/>
      <c r="AC254" s="26"/>
    </row>
    <row r="255">
      <c r="AA255" s="25"/>
      <c r="AB255" s="26"/>
      <c r="AC255" s="26"/>
    </row>
    <row r="256">
      <c r="AA256" s="25"/>
      <c r="AB256" s="26"/>
      <c r="AC256" s="26"/>
    </row>
    <row r="257">
      <c r="AA257" s="25"/>
      <c r="AB257" s="26"/>
      <c r="AC257" s="26"/>
    </row>
    <row r="258">
      <c r="AA258" s="25"/>
      <c r="AB258" s="26"/>
      <c r="AC258" s="26"/>
    </row>
    <row r="259">
      <c r="AA259" s="25"/>
      <c r="AB259" s="26"/>
      <c r="AC259" s="26"/>
    </row>
    <row r="260">
      <c r="AA260" s="25"/>
      <c r="AB260" s="26"/>
      <c r="AC260" s="26"/>
    </row>
    <row r="261">
      <c r="AA261" s="25"/>
      <c r="AB261" s="26"/>
      <c r="AC261" s="26"/>
    </row>
    <row r="262">
      <c r="AA262" s="25"/>
      <c r="AB262" s="26"/>
      <c r="AC262" s="26"/>
    </row>
    <row r="263">
      <c r="AA263" s="25"/>
      <c r="AB263" s="26"/>
      <c r="AC263" s="26"/>
    </row>
    <row r="264">
      <c r="AA264" s="25"/>
      <c r="AB264" s="26"/>
      <c r="AC264" s="26"/>
    </row>
    <row r="265">
      <c r="AA265" s="25"/>
      <c r="AB265" s="26"/>
      <c r="AC265" s="26"/>
    </row>
    <row r="266">
      <c r="AA266" s="25"/>
      <c r="AB266" s="26"/>
      <c r="AC266" s="26"/>
    </row>
    <row r="267">
      <c r="AA267" s="25"/>
      <c r="AB267" s="26"/>
      <c r="AC267" s="26"/>
    </row>
    <row r="268">
      <c r="AA268" s="25"/>
      <c r="AB268" s="26"/>
      <c r="AC268" s="26"/>
    </row>
    <row r="269">
      <c r="AA269" s="25"/>
      <c r="AB269" s="26"/>
      <c r="AC269" s="26"/>
    </row>
    <row r="270">
      <c r="AA270" s="25"/>
      <c r="AB270" s="26"/>
      <c r="AC270" s="26"/>
    </row>
    <row r="271">
      <c r="AA271" s="25"/>
      <c r="AB271" s="26"/>
      <c r="AC271" s="26"/>
    </row>
    <row r="272">
      <c r="AA272" s="25"/>
      <c r="AB272" s="26"/>
      <c r="AC272" s="26"/>
    </row>
    <row r="273">
      <c r="AA273" s="25"/>
      <c r="AB273" s="26"/>
      <c r="AC273" s="26"/>
    </row>
    <row r="274">
      <c r="AA274" s="25"/>
      <c r="AB274" s="26"/>
      <c r="AC274" s="26"/>
    </row>
    <row r="275">
      <c r="AA275" s="25"/>
      <c r="AB275" s="26"/>
      <c r="AC275" s="26"/>
    </row>
    <row r="276">
      <c r="AA276" s="25"/>
      <c r="AB276" s="26"/>
      <c r="AC276" s="26"/>
    </row>
    <row r="277">
      <c r="AA277" s="25"/>
      <c r="AB277" s="26"/>
      <c r="AC277" s="26"/>
    </row>
    <row r="278">
      <c r="AA278" s="25"/>
      <c r="AB278" s="26"/>
      <c r="AC278" s="26"/>
    </row>
    <row r="279">
      <c r="AA279" s="25"/>
      <c r="AB279" s="26"/>
      <c r="AC279" s="26"/>
    </row>
    <row r="280">
      <c r="AA280" s="25"/>
      <c r="AB280" s="26"/>
      <c r="AC280" s="26"/>
    </row>
    <row r="281">
      <c r="AA281" s="25"/>
      <c r="AB281" s="26"/>
      <c r="AC281" s="26"/>
    </row>
    <row r="282">
      <c r="AA282" s="25"/>
      <c r="AB282" s="26"/>
      <c r="AC282" s="26"/>
    </row>
    <row r="283">
      <c r="AA283" s="25"/>
      <c r="AB283" s="26"/>
      <c r="AC283" s="26"/>
    </row>
    <row r="284">
      <c r="AA284" s="25"/>
      <c r="AB284" s="26"/>
      <c r="AC284" s="26"/>
    </row>
    <row r="285">
      <c r="AA285" s="25"/>
      <c r="AB285" s="26"/>
      <c r="AC285" s="26"/>
    </row>
    <row r="286">
      <c r="AA286" s="25"/>
      <c r="AB286" s="26"/>
      <c r="AC286" s="26"/>
    </row>
    <row r="287">
      <c r="AA287" s="25"/>
      <c r="AB287" s="26"/>
      <c r="AC287" s="26"/>
    </row>
    <row r="288">
      <c r="AA288" s="25"/>
      <c r="AB288" s="26"/>
      <c r="AC288" s="26"/>
    </row>
    <row r="289">
      <c r="AA289" s="25"/>
      <c r="AB289" s="26"/>
      <c r="AC289" s="26"/>
    </row>
    <row r="290">
      <c r="AA290" s="25"/>
      <c r="AB290" s="26"/>
      <c r="AC290" s="26"/>
    </row>
    <row r="291">
      <c r="AA291" s="25"/>
      <c r="AB291" s="26"/>
      <c r="AC291" s="26"/>
    </row>
    <row r="292">
      <c r="AA292" s="25"/>
      <c r="AB292" s="26"/>
      <c r="AC292" s="26"/>
    </row>
    <row r="293">
      <c r="AA293" s="25"/>
      <c r="AB293" s="26"/>
      <c r="AC293" s="26"/>
    </row>
    <row r="294">
      <c r="AA294" s="25"/>
      <c r="AB294" s="26"/>
      <c r="AC294" s="26"/>
    </row>
    <row r="295">
      <c r="AA295" s="25"/>
      <c r="AB295" s="26"/>
      <c r="AC295" s="26"/>
    </row>
    <row r="296">
      <c r="AA296" s="25"/>
      <c r="AB296" s="26"/>
      <c r="AC296" s="26"/>
    </row>
    <row r="297">
      <c r="AA297" s="25"/>
      <c r="AB297" s="26"/>
      <c r="AC297" s="26"/>
    </row>
    <row r="298">
      <c r="AA298" s="25"/>
      <c r="AB298" s="26"/>
      <c r="AC298" s="26"/>
    </row>
    <row r="299">
      <c r="AA299" s="25"/>
      <c r="AB299" s="26"/>
      <c r="AC299" s="26"/>
    </row>
    <row r="300">
      <c r="AA300" s="25"/>
      <c r="AB300" s="26"/>
      <c r="AC300" s="26"/>
    </row>
    <row r="301">
      <c r="AA301" s="25"/>
      <c r="AB301" s="26"/>
      <c r="AC301" s="26"/>
    </row>
    <row r="302">
      <c r="AA302" s="25"/>
      <c r="AB302" s="26"/>
      <c r="AC302" s="26"/>
    </row>
    <row r="303">
      <c r="AA303" s="25"/>
      <c r="AB303" s="26"/>
      <c r="AC303" s="26"/>
    </row>
    <row r="304">
      <c r="AA304" s="25"/>
      <c r="AB304" s="26"/>
      <c r="AC304" s="26"/>
    </row>
    <row r="305">
      <c r="AA305" s="25"/>
      <c r="AB305" s="26"/>
      <c r="AC305" s="26"/>
    </row>
    <row r="306">
      <c r="AA306" s="25"/>
      <c r="AB306" s="26"/>
      <c r="AC306" s="26"/>
    </row>
    <row r="307">
      <c r="AA307" s="25"/>
      <c r="AB307" s="26"/>
      <c r="AC307" s="26"/>
    </row>
    <row r="308">
      <c r="AA308" s="25"/>
      <c r="AB308" s="26"/>
      <c r="AC308" s="26"/>
    </row>
    <row r="309">
      <c r="AA309" s="25"/>
      <c r="AB309" s="26"/>
      <c r="AC309" s="26"/>
    </row>
    <row r="310">
      <c r="AA310" s="25"/>
      <c r="AB310" s="26"/>
      <c r="AC310" s="26"/>
    </row>
    <row r="311">
      <c r="AA311" s="25"/>
      <c r="AB311" s="26"/>
      <c r="AC311" s="26"/>
    </row>
    <row r="312">
      <c r="AA312" s="25"/>
      <c r="AB312" s="26"/>
      <c r="AC312" s="26"/>
    </row>
    <row r="313">
      <c r="AA313" s="25"/>
      <c r="AB313" s="26"/>
      <c r="AC313" s="26"/>
    </row>
    <row r="314">
      <c r="AA314" s="25"/>
      <c r="AB314" s="26"/>
      <c r="AC314" s="26"/>
    </row>
    <row r="315">
      <c r="AA315" s="25"/>
      <c r="AB315" s="26"/>
      <c r="AC315" s="26"/>
    </row>
    <row r="316">
      <c r="AA316" s="25"/>
      <c r="AB316" s="26"/>
      <c r="AC316" s="26"/>
    </row>
    <row r="317">
      <c r="AA317" s="25"/>
      <c r="AB317" s="26"/>
      <c r="AC317" s="26"/>
    </row>
    <row r="318">
      <c r="AA318" s="25"/>
      <c r="AB318" s="26"/>
      <c r="AC318" s="26"/>
    </row>
    <row r="319">
      <c r="AA319" s="25"/>
      <c r="AB319" s="26"/>
      <c r="AC319" s="26"/>
    </row>
    <row r="320">
      <c r="AA320" s="25"/>
      <c r="AB320" s="26"/>
      <c r="AC320" s="26"/>
    </row>
    <row r="321">
      <c r="AA321" s="25"/>
      <c r="AB321" s="26"/>
      <c r="AC321" s="26"/>
    </row>
    <row r="322">
      <c r="AA322" s="25"/>
      <c r="AB322" s="26"/>
      <c r="AC322" s="26"/>
    </row>
    <row r="323">
      <c r="AA323" s="25"/>
      <c r="AB323" s="26"/>
      <c r="AC323" s="26"/>
    </row>
    <row r="324">
      <c r="AA324" s="25"/>
      <c r="AB324" s="26"/>
      <c r="AC324" s="26"/>
    </row>
    <row r="325">
      <c r="AA325" s="25"/>
      <c r="AB325" s="26"/>
      <c r="AC325" s="26"/>
    </row>
    <row r="326">
      <c r="AA326" s="25"/>
      <c r="AB326" s="26"/>
      <c r="AC326" s="26"/>
    </row>
    <row r="327">
      <c r="AA327" s="25"/>
      <c r="AB327" s="26"/>
      <c r="AC327" s="26"/>
    </row>
    <row r="328">
      <c r="AA328" s="25"/>
      <c r="AB328" s="26"/>
      <c r="AC328" s="26"/>
    </row>
    <row r="329">
      <c r="AA329" s="25"/>
      <c r="AB329" s="26"/>
      <c r="AC329" s="26"/>
    </row>
    <row r="330">
      <c r="AA330" s="25"/>
      <c r="AB330" s="26"/>
      <c r="AC330" s="26"/>
    </row>
    <row r="331">
      <c r="AA331" s="25"/>
      <c r="AB331" s="26"/>
      <c r="AC331" s="26"/>
    </row>
    <row r="332">
      <c r="AA332" s="25"/>
      <c r="AB332" s="26"/>
      <c r="AC332" s="26"/>
    </row>
    <row r="333">
      <c r="AA333" s="25"/>
      <c r="AB333" s="26"/>
      <c r="AC333" s="26"/>
    </row>
    <row r="334">
      <c r="AA334" s="25"/>
      <c r="AB334" s="26"/>
      <c r="AC334" s="26"/>
    </row>
    <row r="335">
      <c r="AA335" s="25"/>
      <c r="AB335" s="26"/>
      <c r="AC335" s="26"/>
    </row>
    <row r="336">
      <c r="AA336" s="25"/>
      <c r="AB336" s="26"/>
      <c r="AC336" s="26"/>
    </row>
    <row r="337">
      <c r="AA337" s="25"/>
      <c r="AB337" s="26"/>
      <c r="AC337" s="26"/>
    </row>
    <row r="338">
      <c r="AA338" s="25"/>
      <c r="AB338" s="26"/>
      <c r="AC338" s="26"/>
    </row>
    <row r="339">
      <c r="AA339" s="25"/>
      <c r="AB339" s="26"/>
      <c r="AC339" s="26"/>
    </row>
    <row r="340">
      <c r="AA340" s="25"/>
      <c r="AB340" s="26"/>
      <c r="AC340" s="26"/>
    </row>
    <row r="341">
      <c r="AA341" s="25"/>
      <c r="AB341" s="26"/>
      <c r="AC341" s="26"/>
    </row>
    <row r="342">
      <c r="AA342" s="25"/>
      <c r="AB342" s="26"/>
      <c r="AC342" s="26"/>
    </row>
    <row r="343">
      <c r="AA343" s="25"/>
      <c r="AB343" s="26"/>
      <c r="AC343" s="26"/>
    </row>
    <row r="344">
      <c r="AA344" s="25"/>
      <c r="AB344" s="26"/>
      <c r="AC344" s="26"/>
    </row>
    <row r="345">
      <c r="AA345" s="25"/>
      <c r="AB345" s="26"/>
      <c r="AC345" s="26"/>
    </row>
    <row r="346">
      <c r="AA346" s="25"/>
      <c r="AB346" s="26"/>
      <c r="AC346" s="26"/>
    </row>
    <row r="347">
      <c r="AA347" s="25"/>
      <c r="AB347" s="26"/>
      <c r="AC347" s="26"/>
    </row>
    <row r="348">
      <c r="AA348" s="25"/>
      <c r="AB348" s="26"/>
      <c r="AC348" s="26"/>
    </row>
    <row r="349">
      <c r="AA349" s="25"/>
      <c r="AB349" s="26"/>
      <c r="AC349" s="26"/>
    </row>
    <row r="350">
      <c r="AA350" s="25"/>
      <c r="AB350" s="26"/>
      <c r="AC350" s="26"/>
    </row>
    <row r="351">
      <c r="AA351" s="25"/>
      <c r="AB351" s="26"/>
      <c r="AC351" s="26"/>
    </row>
    <row r="352">
      <c r="AA352" s="25"/>
      <c r="AB352" s="26"/>
      <c r="AC352" s="26"/>
    </row>
    <row r="353">
      <c r="AA353" s="25"/>
      <c r="AB353" s="26"/>
      <c r="AC353" s="26"/>
    </row>
    <row r="354">
      <c r="AA354" s="25"/>
      <c r="AB354" s="26"/>
      <c r="AC354" s="26"/>
    </row>
    <row r="355">
      <c r="AA355" s="25"/>
      <c r="AB355" s="26"/>
      <c r="AC355" s="26"/>
    </row>
    <row r="356">
      <c r="AA356" s="25"/>
      <c r="AB356" s="26"/>
      <c r="AC356" s="26"/>
    </row>
    <row r="357">
      <c r="AA357" s="25"/>
      <c r="AB357" s="26"/>
      <c r="AC357" s="26"/>
    </row>
    <row r="358">
      <c r="AA358" s="25"/>
      <c r="AB358" s="26"/>
      <c r="AC358" s="26"/>
    </row>
    <row r="359">
      <c r="AA359" s="25"/>
      <c r="AB359" s="26"/>
      <c r="AC359" s="26"/>
    </row>
    <row r="360">
      <c r="AA360" s="25"/>
      <c r="AB360" s="26"/>
      <c r="AC360" s="26"/>
    </row>
    <row r="361">
      <c r="AA361" s="25"/>
      <c r="AB361" s="26"/>
      <c r="AC361" s="26"/>
    </row>
    <row r="362">
      <c r="AA362" s="25"/>
      <c r="AB362" s="26"/>
      <c r="AC362" s="26"/>
    </row>
    <row r="363">
      <c r="AA363" s="25"/>
      <c r="AB363" s="26"/>
      <c r="AC363" s="26"/>
    </row>
    <row r="364">
      <c r="AA364" s="25"/>
      <c r="AB364" s="26"/>
      <c r="AC364" s="26"/>
    </row>
    <row r="365">
      <c r="AA365" s="25"/>
      <c r="AB365" s="26"/>
      <c r="AC365" s="26"/>
    </row>
    <row r="366">
      <c r="AA366" s="25"/>
      <c r="AB366" s="26"/>
      <c r="AC366" s="26"/>
    </row>
    <row r="367">
      <c r="AA367" s="25"/>
      <c r="AB367" s="26"/>
      <c r="AC367" s="26"/>
    </row>
    <row r="368">
      <c r="AA368" s="25"/>
      <c r="AB368" s="26"/>
      <c r="AC368" s="26"/>
    </row>
    <row r="369">
      <c r="AA369" s="25"/>
      <c r="AB369" s="26"/>
      <c r="AC369" s="26"/>
    </row>
    <row r="370">
      <c r="AA370" s="25"/>
      <c r="AB370" s="26"/>
      <c r="AC370" s="26"/>
    </row>
    <row r="371">
      <c r="AA371" s="25"/>
      <c r="AB371" s="26"/>
      <c r="AC371" s="26"/>
    </row>
    <row r="372">
      <c r="AA372" s="25"/>
      <c r="AB372" s="26"/>
      <c r="AC372" s="26"/>
    </row>
    <row r="373">
      <c r="AA373" s="25"/>
      <c r="AB373" s="26"/>
      <c r="AC373" s="26"/>
    </row>
    <row r="374">
      <c r="AA374" s="25"/>
      <c r="AB374" s="26"/>
      <c r="AC374" s="26"/>
    </row>
    <row r="375">
      <c r="AA375" s="25"/>
      <c r="AB375" s="26"/>
      <c r="AC375" s="26"/>
    </row>
    <row r="376">
      <c r="AA376" s="25"/>
      <c r="AB376" s="26"/>
      <c r="AC376" s="26"/>
    </row>
    <row r="377">
      <c r="AA377" s="25"/>
      <c r="AB377" s="26"/>
      <c r="AC377" s="26"/>
    </row>
    <row r="378">
      <c r="AA378" s="25"/>
      <c r="AB378" s="26"/>
      <c r="AC378" s="26"/>
    </row>
    <row r="379">
      <c r="AA379" s="25"/>
      <c r="AB379" s="26"/>
      <c r="AC379" s="26"/>
    </row>
    <row r="380">
      <c r="AA380" s="25"/>
      <c r="AB380" s="26"/>
      <c r="AC380" s="26"/>
    </row>
    <row r="381">
      <c r="AA381" s="25"/>
      <c r="AB381" s="26"/>
      <c r="AC381" s="26"/>
    </row>
    <row r="382">
      <c r="AA382" s="25"/>
      <c r="AB382" s="26"/>
      <c r="AC382" s="26"/>
    </row>
    <row r="383">
      <c r="AA383" s="25"/>
      <c r="AB383" s="26"/>
      <c r="AC383" s="26"/>
    </row>
    <row r="384">
      <c r="AA384" s="25"/>
      <c r="AB384" s="26"/>
      <c r="AC384" s="26"/>
    </row>
    <row r="385">
      <c r="AA385" s="25"/>
      <c r="AB385" s="26"/>
      <c r="AC385" s="26"/>
    </row>
    <row r="386">
      <c r="AA386" s="25"/>
      <c r="AB386" s="26"/>
      <c r="AC386" s="26"/>
    </row>
    <row r="387">
      <c r="AA387" s="25"/>
      <c r="AB387" s="26"/>
      <c r="AC387" s="26"/>
    </row>
    <row r="388">
      <c r="AA388" s="25"/>
      <c r="AB388" s="26"/>
      <c r="AC388" s="26"/>
    </row>
    <row r="389">
      <c r="AA389" s="25"/>
      <c r="AB389" s="26"/>
      <c r="AC389" s="26"/>
    </row>
    <row r="390">
      <c r="AA390" s="25"/>
      <c r="AB390" s="26"/>
      <c r="AC390" s="26"/>
    </row>
    <row r="391">
      <c r="AA391" s="25"/>
      <c r="AB391" s="26"/>
      <c r="AC391" s="26"/>
    </row>
    <row r="392">
      <c r="AA392" s="25"/>
      <c r="AB392" s="26"/>
      <c r="AC392" s="26"/>
    </row>
    <row r="393">
      <c r="AA393" s="25"/>
      <c r="AB393" s="26"/>
      <c r="AC393" s="26"/>
    </row>
    <row r="394">
      <c r="AA394" s="25"/>
      <c r="AB394" s="26"/>
      <c r="AC394" s="26"/>
    </row>
    <row r="395">
      <c r="AA395" s="25"/>
      <c r="AB395" s="26"/>
      <c r="AC395" s="26"/>
    </row>
    <row r="396">
      <c r="AA396" s="25"/>
      <c r="AB396" s="26"/>
      <c r="AC396" s="26"/>
    </row>
    <row r="397">
      <c r="AA397" s="25"/>
      <c r="AB397" s="26"/>
      <c r="AC397" s="26"/>
    </row>
    <row r="398">
      <c r="AA398" s="25"/>
      <c r="AB398" s="26"/>
      <c r="AC398" s="26"/>
    </row>
    <row r="399">
      <c r="AA399" s="25"/>
      <c r="AB399" s="26"/>
      <c r="AC399" s="26"/>
    </row>
    <row r="400">
      <c r="AA400" s="25"/>
      <c r="AB400" s="26"/>
      <c r="AC400" s="26"/>
    </row>
    <row r="401">
      <c r="AA401" s="25"/>
      <c r="AB401" s="26"/>
      <c r="AC401" s="26"/>
    </row>
    <row r="402">
      <c r="AA402" s="25"/>
      <c r="AB402" s="26"/>
      <c r="AC402" s="26"/>
    </row>
    <row r="403">
      <c r="AA403" s="25"/>
      <c r="AB403" s="26"/>
      <c r="AC403" s="26"/>
    </row>
    <row r="404">
      <c r="AA404" s="25"/>
      <c r="AB404" s="26"/>
      <c r="AC404" s="26"/>
    </row>
    <row r="405">
      <c r="AA405" s="25"/>
      <c r="AB405" s="26"/>
      <c r="AC405" s="26"/>
    </row>
    <row r="406">
      <c r="AA406" s="25"/>
      <c r="AB406" s="26"/>
      <c r="AC406" s="26"/>
    </row>
    <row r="407">
      <c r="AA407" s="25"/>
      <c r="AB407" s="26"/>
      <c r="AC407" s="26"/>
    </row>
    <row r="408">
      <c r="AA408" s="25"/>
      <c r="AB408" s="26"/>
      <c r="AC408" s="26"/>
    </row>
    <row r="409">
      <c r="AA409" s="25"/>
      <c r="AB409" s="26"/>
      <c r="AC409" s="26"/>
    </row>
    <row r="410">
      <c r="AA410" s="25"/>
      <c r="AB410" s="26"/>
      <c r="AC410" s="26"/>
    </row>
    <row r="411">
      <c r="AA411" s="25"/>
      <c r="AB411" s="26"/>
      <c r="AC411" s="26"/>
    </row>
    <row r="412">
      <c r="AA412" s="25"/>
      <c r="AB412" s="26"/>
      <c r="AC412" s="26"/>
    </row>
    <row r="413">
      <c r="AA413" s="25"/>
      <c r="AB413" s="26"/>
      <c r="AC413" s="26"/>
    </row>
    <row r="414">
      <c r="AA414" s="25"/>
      <c r="AB414" s="26"/>
      <c r="AC414" s="26"/>
    </row>
    <row r="415">
      <c r="AA415" s="25"/>
      <c r="AB415" s="26"/>
      <c r="AC415" s="26"/>
    </row>
    <row r="416">
      <c r="AA416" s="25"/>
      <c r="AB416" s="26"/>
      <c r="AC416" s="26"/>
    </row>
    <row r="417">
      <c r="AA417" s="25"/>
      <c r="AB417" s="26"/>
      <c r="AC417" s="26"/>
    </row>
    <row r="418">
      <c r="AA418" s="25"/>
      <c r="AB418" s="26"/>
      <c r="AC418" s="26"/>
    </row>
    <row r="419">
      <c r="AA419" s="25"/>
      <c r="AB419" s="26"/>
      <c r="AC419" s="26"/>
    </row>
    <row r="420">
      <c r="AA420" s="25"/>
      <c r="AB420" s="26"/>
      <c r="AC420" s="26"/>
    </row>
    <row r="421">
      <c r="AA421" s="25"/>
      <c r="AB421" s="26"/>
      <c r="AC421" s="26"/>
    </row>
    <row r="422">
      <c r="AA422" s="25"/>
      <c r="AB422" s="26"/>
      <c r="AC422" s="26"/>
    </row>
    <row r="423">
      <c r="AA423" s="25"/>
      <c r="AB423" s="26"/>
      <c r="AC423" s="26"/>
    </row>
    <row r="424">
      <c r="AA424" s="25"/>
      <c r="AB424" s="26"/>
      <c r="AC424" s="26"/>
    </row>
    <row r="425">
      <c r="AA425" s="25"/>
      <c r="AB425" s="26"/>
      <c r="AC425" s="26"/>
    </row>
    <row r="426">
      <c r="AA426" s="25"/>
      <c r="AB426" s="26"/>
      <c r="AC426" s="26"/>
    </row>
    <row r="427">
      <c r="AA427" s="25"/>
      <c r="AB427" s="26"/>
      <c r="AC427" s="26"/>
    </row>
    <row r="428">
      <c r="AA428" s="25"/>
      <c r="AB428" s="26"/>
      <c r="AC428" s="26"/>
    </row>
    <row r="429">
      <c r="AA429" s="25"/>
      <c r="AB429" s="26"/>
      <c r="AC429" s="26"/>
    </row>
    <row r="430">
      <c r="AA430" s="25"/>
      <c r="AB430" s="26"/>
      <c r="AC430" s="26"/>
    </row>
    <row r="431">
      <c r="AA431" s="25"/>
      <c r="AB431" s="26"/>
      <c r="AC431" s="26"/>
    </row>
    <row r="432">
      <c r="AA432" s="25"/>
      <c r="AB432" s="26"/>
      <c r="AC432" s="26"/>
    </row>
    <row r="433">
      <c r="AA433" s="25"/>
      <c r="AB433" s="26"/>
      <c r="AC433" s="26"/>
    </row>
    <row r="434">
      <c r="AA434" s="25"/>
      <c r="AB434" s="26"/>
      <c r="AC434" s="26"/>
    </row>
    <row r="435">
      <c r="AA435" s="25"/>
      <c r="AB435" s="26"/>
      <c r="AC435" s="26"/>
    </row>
    <row r="436">
      <c r="AA436" s="25"/>
      <c r="AB436" s="26"/>
      <c r="AC436" s="26"/>
    </row>
    <row r="437">
      <c r="AA437" s="25"/>
      <c r="AB437" s="26"/>
      <c r="AC437" s="26"/>
    </row>
    <row r="438">
      <c r="AA438" s="25"/>
      <c r="AB438" s="26"/>
      <c r="AC438" s="26"/>
    </row>
    <row r="439">
      <c r="AA439" s="25"/>
      <c r="AB439" s="26"/>
      <c r="AC439" s="26"/>
    </row>
    <row r="440">
      <c r="AA440" s="25"/>
      <c r="AB440" s="26"/>
      <c r="AC440" s="26"/>
    </row>
    <row r="441">
      <c r="AA441" s="25"/>
      <c r="AB441" s="26"/>
      <c r="AC441" s="26"/>
    </row>
    <row r="442">
      <c r="AA442" s="25"/>
      <c r="AB442" s="26"/>
      <c r="AC442" s="26"/>
    </row>
    <row r="443">
      <c r="AA443" s="25"/>
      <c r="AB443" s="26"/>
      <c r="AC443" s="26"/>
    </row>
    <row r="444">
      <c r="AA444" s="25"/>
      <c r="AB444" s="26"/>
      <c r="AC444" s="26"/>
    </row>
    <row r="445">
      <c r="AA445" s="25"/>
      <c r="AB445" s="26"/>
      <c r="AC445" s="26"/>
    </row>
    <row r="446">
      <c r="AA446" s="25"/>
      <c r="AB446" s="26"/>
      <c r="AC446" s="26"/>
    </row>
    <row r="447">
      <c r="AA447" s="25"/>
      <c r="AB447" s="26"/>
      <c r="AC447" s="26"/>
    </row>
    <row r="448">
      <c r="AA448" s="25"/>
      <c r="AB448" s="26"/>
      <c r="AC448" s="26"/>
    </row>
    <row r="449">
      <c r="AA449" s="25"/>
      <c r="AB449" s="26"/>
      <c r="AC449" s="26"/>
    </row>
    <row r="450">
      <c r="AA450" s="25"/>
      <c r="AB450" s="26"/>
      <c r="AC450" s="26"/>
    </row>
    <row r="451">
      <c r="AA451" s="25"/>
      <c r="AB451" s="26"/>
      <c r="AC451" s="26"/>
    </row>
    <row r="452">
      <c r="AA452" s="25"/>
      <c r="AB452" s="26"/>
      <c r="AC452" s="26"/>
    </row>
    <row r="453">
      <c r="AA453" s="25"/>
      <c r="AB453" s="26"/>
      <c r="AC453" s="26"/>
    </row>
    <row r="454">
      <c r="AA454" s="25"/>
      <c r="AB454" s="26"/>
      <c r="AC454" s="26"/>
    </row>
    <row r="455">
      <c r="AA455" s="25"/>
      <c r="AB455" s="26"/>
      <c r="AC455" s="26"/>
    </row>
    <row r="456">
      <c r="AA456" s="25"/>
      <c r="AB456" s="26"/>
      <c r="AC456" s="26"/>
    </row>
    <row r="457">
      <c r="AA457" s="25"/>
      <c r="AB457" s="26"/>
      <c r="AC457" s="26"/>
    </row>
    <row r="458">
      <c r="AA458" s="25"/>
      <c r="AB458" s="26"/>
      <c r="AC458" s="26"/>
    </row>
    <row r="459">
      <c r="AA459" s="25"/>
      <c r="AB459" s="26"/>
      <c r="AC459" s="26"/>
    </row>
    <row r="460">
      <c r="AA460" s="25"/>
      <c r="AB460" s="26"/>
      <c r="AC460" s="26"/>
    </row>
    <row r="461">
      <c r="AA461" s="25"/>
      <c r="AB461" s="26"/>
      <c r="AC461" s="26"/>
    </row>
    <row r="462">
      <c r="AA462" s="25"/>
      <c r="AB462" s="26"/>
      <c r="AC462" s="26"/>
    </row>
    <row r="463">
      <c r="AA463" s="25"/>
      <c r="AB463" s="26"/>
      <c r="AC463" s="26"/>
    </row>
    <row r="464">
      <c r="AA464" s="25"/>
      <c r="AB464" s="26"/>
      <c r="AC464" s="26"/>
    </row>
    <row r="465">
      <c r="AA465" s="25"/>
      <c r="AB465" s="26"/>
      <c r="AC465" s="26"/>
    </row>
    <row r="466">
      <c r="AA466" s="25"/>
      <c r="AB466" s="26"/>
      <c r="AC466" s="26"/>
    </row>
    <row r="467">
      <c r="AA467" s="25"/>
      <c r="AB467" s="26"/>
      <c r="AC467" s="26"/>
    </row>
    <row r="468">
      <c r="AA468" s="25"/>
      <c r="AB468" s="26"/>
      <c r="AC468" s="26"/>
    </row>
    <row r="469">
      <c r="AA469" s="25"/>
      <c r="AB469" s="26"/>
      <c r="AC469" s="26"/>
    </row>
    <row r="470">
      <c r="AA470" s="25"/>
      <c r="AB470" s="26"/>
      <c r="AC470" s="26"/>
    </row>
    <row r="471">
      <c r="AA471" s="25"/>
      <c r="AB471" s="26"/>
      <c r="AC471" s="26"/>
    </row>
    <row r="472">
      <c r="AA472" s="25"/>
      <c r="AB472" s="26"/>
      <c r="AC472" s="26"/>
    </row>
    <row r="473">
      <c r="AA473" s="25"/>
      <c r="AB473" s="26"/>
      <c r="AC473" s="26"/>
    </row>
    <row r="474">
      <c r="AA474" s="25"/>
      <c r="AB474" s="26"/>
      <c r="AC474" s="26"/>
    </row>
    <row r="475">
      <c r="AA475" s="25"/>
      <c r="AB475" s="26"/>
      <c r="AC475" s="26"/>
    </row>
    <row r="476">
      <c r="AA476" s="25"/>
      <c r="AB476" s="26"/>
      <c r="AC476" s="26"/>
    </row>
    <row r="477">
      <c r="AA477" s="25"/>
      <c r="AB477" s="26"/>
      <c r="AC477" s="26"/>
    </row>
    <row r="478">
      <c r="AA478" s="25"/>
      <c r="AB478" s="26"/>
      <c r="AC478" s="26"/>
    </row>
    <row r="479">
      <c r="AA479" s="25"/>
      <c r="AB479" s="26"/>
      <c r="AC479" s="26"/>
    </row>
    <row r="480">
      <c r="AA480" s="25"/>
      <c r="AB480" s="26"/>
      <c r="AC480" s="26"/>
    </row>
    <row r="481">
      <c r="AA481" s="25"/>
      <c r="AB481" s="26"/>
      <c r="AC481" s="26"/>
    </row>
    <row r="482">
      <c r="AA482" s="25"/>
      <c r="AB482" s="26"/>
      <c r="AC482" s="26"/>
    </row>
    <row r="483">
      <c r="AA483" s="25"/>
      <c r="AB483" s="26"/>
      <c r="AC483" s="26"/>
    </row>
    <row r="484">
      <c r="AA484" s="25"/>
      <c r="AB484" s="26"/>
      <c r="AC484" s="26"/>
    </row>
    <row r="485">
      <c r="AA485" s="25"/>
      <c r="AB485" s="26"/>
      <c r="AC485" s="26"/>
    </row>
    <row r="486">
      <c r="AA486" s="25"/>
      <c r="AB486" s="26"/>
      <c r="AC486" s="26"/>
    </row>
    <row r="487">
      <c r="AA487" s="25"/>
      <c r="AB487" s="26"/>
      <c r="AC487" s="26"/>
    </row>
    <row r="488">
      <c r="AA488" s="25"/>
      <c r="AB488" s="26"/>
      <c r="AC488" s="26"/>
    </row>
    <row r="489">
      <c r="AA489" s="25"/>
      <c r="AB489" s="26"/>
      <c r="AC489" s="26"/>
    </row>
    <row r="490">
      <c r="AA490" s="25"/>
      <c r="AB490" s="26"/>
      <c r="AC490" s="26"/>
    </row>
    <row r="491">
      <c r="AA491" s="25"/>
      <c r="AB491" s="26"/>
      <c r="AC491" s="26"/>
    </row>
    <row r="492">
      <c r="AA492" s="25"/>
      <c r="AB492" s="26"/>
      <c r="AC492" s="26"/>
    </row>
    <row r="493">
      <c r="AA493" s="25"/>
      <c r="AB493" s="26"/>
      <c r="AC493" s="26"/>
    </row>
    <row r="494">
      <c r="AA494" s="25"/>
      <c r="AB494" s="26"/>
      <c r="AC494" s="26"/>
    </row>
    <row r="495">
      <c r="AA495" s="25"/>
      <c r="AB495" s="26"/>
      <c r="AC495" s="26"/>
    </row>
    <row r="496">
      <c r="AA496" s="25"/>
      <c r="AB496" s="26"/>
      <c r="AC496" s="26"/>
    </row>
    <row r="497">
      <c r="AA497" s="25"/>
      <c r="AB497" s="26"/>
      <c r="AC497" s="26"/>
    </row>
    <row r="498">
      <c r="AA498" s="25"/>
      <c r="AB498" s="26"/>
      <c r="AC498" s="26"/>
    </row>
    <row r="499">
      <c r="AA499" s="25"/>
      <c r="AB499" s="26"/>
      <c r="AC499" s="26"/>
    </row>
    <row r="500">
      <c r="AA500" s="25"/>
      <c r="AB500" s="26"/>
      <c r="AC500" s="26"/>
    </row>
    <row r="501">
      <c r="AA501" s="25"/>
      <c r="AB501" s="26"/>
      <c r="AC501" s="26"/>
    </row>
    <row r="502">
      <c r="AA502" s="25"/>
      <c r="AB502" s="26"/>
      <c r="AC502" s="26"/>
    </row>
    <row r="503">
      <c r="AA503" s="25"/>
      <c r="AB503" s="26"/>
      <c r="AC503" s="26"/>
    </row>
    <row r="504">
      <c r="AA504" s="25"/>
      <c r="AB504" s="26"/>
      <c r="AC504" s="26"/>
    </row>
    <row r="505">
      <c r="AA505" s="25"/>
      <c r="AB505" s="26"/>
      <c r="AC505" s="26"/>
    </row>
    <row r="506">
      <c r="AA506" s="25"/>
      <c r="AB506" s="26"/>
      <c r="AC506" s="26"/>
    </row>
    <row r="507">
      <c r="AA507" s="25"/>
      <c r="AB507" s="26"/>
      <c r="AC507" s="26"/>
    </row>
    <row r="508">
      <c r="AA508" s="25"/>
      <c r="AB508" s="26"/>
      <c r="AC508" s="26"/>
    </row>
    <row r="509">
      <c r="AA509" s="25"/>
      <c r="AB509" s="26"/>
      <c r="AC509" s="26"/>
    </row>
    <row r="510">
      <c r="AA510" s="25"/>
      <c r="AB510" s="26"/>
      <c r="AC510" s="26"/>
    </row>
    <row r="511">
      <c r="AA511" s="25"/>
      <c r="AB511" s="26"/>
      <c r="AC511" s="26"/>
    </row>
    <row r="512">
      <c r="AA512" s="25"/>
      <c r="AB512" s="26"/>
      <c r="AC512" s="26"/>
    </row>
    <row r="513">
      <c r="AA513" s="25"/>
      <c r="AB513" s="26"/>
      <c r="AC513" s="26"/>
    </row>
    <row r="514">
      <c r="AA514" s="25"/>
      <c r="AB514" s="26"/>
      <c r="AC514" s="26"/>
    </row>
    <row r="515">
      <c r="AA515" s="25"/>
      <c r="AB515" s="26"/>
      <c r="AC515" s="26"/>
    </row>
    <row r="516">
      <c r="AA516" s="25"/>
      <c r="AB516" s="26"/>
      <c r="AC516" s="26"/>
    </row>
    <row r="517">
      <c r="AA517" s="25"/>
      <c r="AB517" s="26"/>
      <c r="AC517" s="26"/>
    </row>
    <row r="518">
      <c r="AA518" s="25"/>
      <c r="AB518" s="26"/>
      <c r="AC518" s="26"/>
    </row>
    <row r="519">
      <c r="AA519" s="25"/>
      <c r="AB519" s="26"/>
      <c r="AC519" s="26"/>
    </row>
    <row r="520">
      <c r="AA520" s="25"/>
      <c r="AB520" s="26"/>
      <c r="AC520" s="26"/>
    </row>
    <row r="521">
      <c r="AA521" s="25"/>
      <c r="AB521" s="26"/>
      <c r="AC521" s="26"/>
    </row>
    <row r="522">
      <c r="AA522" s="25"/>
      <c r="AB522" s="26"/>
      <c r="AC522" s="26"/>
    </row>
    <row r="523">
      <c r="AA523" s="25"/>
      <c r="AB523" s="26"/>
      <c r="AC523" s="26"/>
    </row>
    <row r="524">
      <c r="AA524" s="25"/>
      <c r="AB524" s="26"/>
      <c r="AC524" s="26"/>
    </row>
    <row r="525">
      <c r="AA525" s="25"/>
      <c r="AB525" s="26"/>
      <c r="AC525" s="26"/>
    </row>
    <row r="526">
      <c r="AA526" s="25"/>
      <c r="AB526" s="26"/>
      <c r="AC526" s="26"/>
    </row>
    <row r="527">
      <c r="AA527" s="25"/>
      <c r="AB527" s="26"/>
      <c r="AC527" s="26"/>
    </row>
    <row r="528">
      <c r="AA528" s="25"/>
      <c r="AB528" s="26"/>
      <c r="AC528" s="26"/>
    </row>
    <row r="529">
      <c r="AA529" s="25"/>
      <c r="AB529" s="26"/>
      <c r="AC529" s="26"/>
    </row>
    <row r="530">
      <c r="AA530" s="25"/>
      <c r="AB530" s="26"/>
      <c r="AC530" s="26"/>
    </row>
    <row r="531">
      <c r="AA531" s="25"/>
      <c r="AB531" s="26"/>
      <c r="AC531" s="26"/>
    </row>
    <row r="532">
      <c r="AA532" s="25"/>
      <c r="AB532" s="26"/>
      <c r="AC532" s="26"/>
    </row>
    <row r="533">
      <c r="AA533" s="25"/>
      <c r="AB533" s="26"/>
      <c r="AC533" s="26"/>
    </row>
    <row r="534">
      <c r="AA534" s="25"/>
      <c r="AB534" s="26"/>
      <c r="AC534" s="26"/>
    </row>
    <row r="535">
      <c r="AA535" s="25"/>
      <c r="AB535" s="26"/>
      <c r="AC535" s="26"/>
    </row>
    <row r="536">
      <c r="AA536" s="25"/>
      <c r="AB536" s="26"/>
      <c r="AC536" s="26"/>
    </row>
    <row r="537">
      <c r="AA537" s="25"/>
      <c r="AB537" s="26"/>
      <c r="AC537" s="26"/>
    </row>
    <row r="538">
      <c r="AA538" s="25"/>
      <c r="AB538" s="26"/>
      <c r="AC538" s="26"/>
    </row>
    <row r="539">
      <c r="AA539" s="25"/>
      <c r="AB539" s="26"/>
      <c r="AC539" s="26"/>
    </row>
    <row r="540">
      <c r="AA540" s="25"/>
      <c r="AB540" s="26"/>
      <c r="AC540" s="26"/>
    </row>
    <row r="541">
      <c r="AA541" s="25"/>
      <c r="AB541" s="26"/>
      <c r="AC541" s="26"/>
    </row>
    <row r="542">
      <c r="AA542" s="25"/>
      <c r="AB542" s="26"/>
      <c r="AC542" s="26"/>
    </row>
    <row r="543">
      <c r="AA543" s="25"/>
      <c r="AB543" s="26"/>
      <c r="AC543" s="26"/>
    </row>
    <row r="544">
      <c r="AA544" s="25"/>
      <c r="AB544" s="26"/>
      <c r="AC544" s="26"/>
    </row>
    <row r="545">
      <c r="AA545" s="25"/>
      <c r="AB545" s="26"/>
      <c r="AC545" s="26"/>
    </row>
    <row r="546">
      <c r="AA546" s="25"/>
      <c r="AB546" s="26"/>
      <c r="AC546" s="26"/>
    </row>
    <row r="547">
      <c r="AA547" s="25"/>
      <c r="AB547" s="26"/>
      <c r="AC547" s="26"/>
    </row>
    <row r="548">
      <c r="AA548" s="25"/>
      <c r="AB548" s="26"/>
      <c r="AC548" s="26"/>
    </row>
    <row r="549">
      <c r="AA549" s="25"/>
      <c r="AB549" s="26"/>
      <c r="AC549" s="26"/>
    </row>
    <row r="550">
      <c r="AA550" s="25"/>
      <c r="AB550" s="26"/>
      <c r="AC550" s="26"/>
    </row>
    <row r="551">
      <c r="AA551" s="25"/>
      <c r="AB551" s="26"/>
      <c r="AC551" s="26"/>
    </row>
    <row r="552">
      <c r="AA552" s="25"/>
      <c r="AB552" s="26"/>
      <c r="AC552" s="26"/>
    </row>
    <row r="553">
      <c r="AA553" s="25"/>
      <c r="AB553" s="26"/>
      <c r="AC553" s="26"/>
    </row>
    <row r="554">
      <c r="AA554" s="25"/>
      <c r="AB554" s="26"/>
      <c r="AC554" s="26"/>
    </row>
    <row r="555">
      <c r="AA555" s="25"/>
      <c r="AB555" s="26"/>
      <c r="AC555" s="26"/>
    </row>
    <row r="556">
      <c r="AA556" s="25"/>
      <c r="AB556" s="26"/>
      <c r="AC556" s="26"/>
    </row>
    <row r="557">
      <c r="AA557" s="25"/>
      <c r="AB557" s="26"/>
      <c r="AC557" s="26"/>
    </row>
    <row r="558">
      <c r="AA558" s="25"/>
      <c r="AB558" s="26"/>
      <c r="AC558" s="26"/>
    </row>
    <row r="559">
      <c r="AA559" s="25"/>
      <c r="AB559" s="26"/>
      <c r="AC559" s="26"/>
    </row>
    <row r="560">
      <c r="AA560" s="25"/>
      <c r="AB560" s="26"/>
      <c r="AC560" s="26"/>
    </row>
    <row r="561">
      <c r="AA561" s="25"/>
      <c r="AB561" s="26"/>
      <c r="AC561" s="26"/>
    </row>
    <row r="562">
      <c r="AA562" s="25"/>
      <c r="AB562" s="26"/>
      <c r="AC562" s="26"/>
    </row>
    <row r="563">
      <c r="AA563" s="25"/>
      <c r="AB563" s="26"/>
      <c r="AC563" s="26"/>
    </row>
    <row r="564">
      <c r="AA564" s="25"/>
      <c r="AB564" s="26"/>
      <c r="AC564" s="26"/>
    </row>
    <row r="565">
      <c r="AA565" s="25"/>
      <c r="AB565" s="26"/>
      <c r="AC565" s="26"/>
    </row>
    <row r="566">
      <c r="AA566" s="25"/>
      <c r="AB566" s="26"/>
      <c r="AC566" s="26"/>
    </row>
    <row r="567">
      <c r="AA567" s="25"/>
      <c r="AB567" s="26"/>
      <c r="AC567" s="26"/>
    </row>
    <row r="568">
      <c r="AA568" s="25"/>
      <c r="AB568" s="26"/>
      <c r="AC568" s="26"/>
    </row>
    <row r="569">
      <c r="AA569" s="25"/>
      <c r="AB569" s="26"/>
      <c r="AC569" s="26"/>
    </row>
    <row r="570">
      <c r="AA570" s="25"/>
      <c r="AB570" s="26"/>
      <c r="AC570" s="26"/>
    </row>
    <row r="571">
      <c r="AA571" s="25"/>
      <c r="AB571" s="26"/>
      <c r="AC571" s="26"/>
    </row>
    <row r="572">
      <c r="AA572" s="25"/>
      <c r="AB572" s="26"/>
      <c r="AC572" s="26"/>
    </row>
    <row r="573">
      <c r="AA573" s="25"/>
      <c r="AB573" s="26"/>
      <c r="AC573" s="26"/>
    </row>
    <row r="574">
      <c r="AA574" s="25"/>
      <c r="AB574" s="26"/>
      <c r="AC574" s="26"/>
    </row>
    <row r="575">
      <c r="AA575" s="25"/>
      <c r="AB575" s="26"/>
      <c r="AC575" s="26"/>
    </row>
    <row r="576">
      <c r="AA576" s="25"/>
      <c r="AB576" s="26"/>
      <c r="AC576" s="26"/>
    </row>
    <row r="577">
      <c r="AA577" s="25"/>
      <c r="AB577" s="26"/>
      <c r="AC577" s="26"/>
    </row>
    <row r="578">
      <c r="AA578" s="25"/>
      <c r="AB578" s="26"/>
      <c r="AC578" s="26"/>
    </row>
    <row r="579">
      <c r="AA579" s="25"/>
      <c r="AB579" s="26"/>
      <c r="AC579" s="26"/>
    </row>
    <row r="580">
      <c r="AA580" s="25"/>
      <c r="AB580" s="26"/>
      <c r="AC580" s="26"/>
    </row>
    <row r="581">
      <c r="AA581" s="25"/>
      <c r="AB581" s="26"/>
      <c r="AC581" s="26"/>
    </row>
    <row r="582">
      <c r="AA582" s="25"/>
      <c r="AB582" s="26"/>
      <c r="AC582" s="26"/>
    </row>
    <row r="583">
      <c r="AA583" s="25"/>
      <c r="AB583" s="26"/>
      <c r="AC583" s="26"/>
    </row>
    <row r="584">
      <c r="AA584" s="25"/>
      <c r="AB584" s="26"/>
      <c r="AC584" s="26"/>
    </row>
    <row r="585">
      <c r="AA585" s="25"/>
      <c r="AB585" s="26"/>
      <c r="AC585" s="26"/>
    </row>
    <row r="586">
      <c r="AA586" s="25"/>
      <c r="AB586" s="26"/>
      <c r="AC586" s="26"/>
    </row>
    <row r="587">
      <c r="AA587" s="25"/>
      <c r="AB587" s="26"/>
      <c r="AC587" s="26"/>
    </row>
    <row r="588">
      <c r="AA588" s="25"/>
      <c r="AB588" s="26"/>
      <c r="AC588" s="26"/>
    </row>
    <row r="589">
      <c r="AA589" s="25"/>
      <c r="AB589" s="26"/>
      <c r="AC589" s="26"/>
    </row>
    <row r="590">
      <c r="AA590" s="25"/>
      <c r="AB590" s="26"/>
      <c r="AC590" s="26"/>
    </row>
    <row r="591">
      <c r="AA591" s="25"/>
      <c r="AB591" s="26"/>
      <c r="AC591" s="26"/>
    </row>
    <row r="592">
      <c r="AA592" s="25"/>
      <c r="AB592" s="26"/>
      <c r="AC592" s="26"/>
    </row>
    <row r="593">
      <c r="AA593" s="25"/>
      <c r="AB593" s="26"/>
      <c r="AC593" s="26"/>
    </row>
    <row r="594">
      <c r="AA594" s="25"/>
      <c r="AB594" s="26"/>
      <c r="AC594" s="26"/>
    </row>
    <row r="595">
      <c r="AA595" s="25"/>
      <c r="AB595" s="26"/>
      <c r="AC595" s="26"/>
    </row>
    <row r="596">
      <c r="AA596" s="25"/>
      <c r="AB596" s="26"/>
      <c r="AC596" s="26"/>
    </row>
    <row r="597">
      <c r="AA597" s="25"/>
      <c r="AB597" s="26"/>
      <c r="AC597" s="26"/>
    </row>
    <row r="598">
      <c r="AA598" s="25"/>
      <c r="AB598" s="26"/>
      <c r="AC598" s="26"/>
    </row>
    <row r="599">
      <c r="AA599" s="25"/>
      <c r="AB599" s="26"/>
      <c r="AC599" s="26"/>
    </row>
    <row r="600">
      <c r="AA600" s="25"/>
      <c r="AB600" s="26"/>
      <c r="AC600" s="26"/>
    </row>
    <row r="601">
      <c r="AA601" s="25"/>
      <c r="AB601" s="26"/>
      <c r="AC601" s="26"/>
    </row>
    <row r="602">
      <c r="AA602" s="25"/>
      <c r="AB602" s="26"/>
      <c r="AC602" s="26"/>
    </row>
    <row r="603">
      <c r="AA603" s="25"/>
      <c r="AB603" s="26"/>
      <c r="AC603" s="26"/>
    </row>
    <row r="604">
      <c r="AA604" s="25"/>
      <c r="AB604" s="26"/>
      <c r="AC604" s="26"/>
    </row>
    <row r="605">
      <c r="AA605" s="25"/>
      <c r="AB605" s="26"/>
      <c r="AC605" s="26"/>
    </row>
    <row r="606">
      <c r="AA606" s="25"/>
      <c r="AB606" s="26"/>
      <c r="AC606" s="26"/>
    </row>
    <row r="607">
      <c r="AA607" s="25"/>
      <c r="AB607" s="26"/>
      <c r="AC607" s="26"/>
    </row>
    <row r="608">
      <c r="AA608" s="25"/>
      <c r="AB608" s="26"/>
      <c r="AC608" s="26"/>
    </row>
    <row r="609">
      <c r="AA609" s="25"/>
      <c r="AB609" s="26"/>
      <c r="AC609" s="26"/>
    </row>
    <row r="610">
      <c r="AA610" s="25"/>
      <c r="AB610" s="26"/>
      <c r="AC610" s="26"/>
    </row>
    <row r="611">
      <c r="AA611" s="25"/>
      <c r="AB611" s="26"/>
      <c r="AC611" s="26"/>
    </row>
    <row r="612">
      <c r="AA612" s="25"/>
      <c r="AB612" s="26"/>
      <c r="AC612" s="26"/>
    </row>
    <row r="613">
      <c r="AA613" s="25"/>
      <c r="AB613" s="26"/>
      <c r="AC613" s="26"/>
    </row>
    <row r="614">
      <c r="AA614" s="25"/>
      <c r="AB614" s="26"/>
      <c r="AC614" s="26"/>
    </row>
    <row r="615">
      <c r="AA615" s="25"/>
      <c r="AB615" s="26"/>
      <c r="AC615" s="26"/>
    </row>
    <row r="616">
      <c r="AA616" s="25"/>
      <c r="AB616" s="26"/>
      <c r="AC616" s="26"/>
    </row>
    <row r="617">
      <c r="AA617" s="25"/>
      <c r="AB617" s="26"/>
      <c r="AC617" s="26"/>
    </row>
    <row r="618">
      <c r="AA618" s="25"/>
      <c r="AB618" s="26"/>
      <c r="AC618" s="26"/>
    </row>
    <row r="619">
      <c r="AA619" s="25"/>
      <c r="AB619" s="26"/>
      <c r="AC619" s="26"/>
    </row>
    <row r="620">
      <c r="AA620" s="25"/>
      <c r="AB620" s="26"/>
      <c r="AC620" s="26"/>
    </row>
    <row r="621">
      <c r="AA621" s="25"/>
      <c r="AB621" s="26"/>
      <c r="AC621" s="26"/>
    </row>
    <row r="622">
      <c r="AA622" s="25"/>
      <c r="AB622" s="26"/>
      <c r="AC622" s="26"/>
    </row>
    <row r="623">
      <c r="AA623" s="25"/>
      <c r="AB623" s="26"/>
      <c r="AC623" s="26"/>
    </row>
    <row r="624">
      <c r="AA624" s="25"/>
      <c r="AB624" s="26"/>
      <c r="AC624" s="26"/>
    </row>
    <row r="625">
      <c r="AA625" s="25"/>
      <c r="AB625" s="26"/>
      <c r="AC625" s="26"/>
    </row>
    <row r="626">
      <c r="AA626" s="25"/>
      <c r="AB626" s="26"/>
      <c r="AC626" s="26"/>
    </row>
    <row r="627">
      <c r="AA627" s="25"/>
      <c r="AB627" s="26"/>
      <c r="AC627" s="26"/>
    </row>
    <row r="628">
      <c r="AA628" s="25"/>
      <c r="AB628" s="26"/>
      <c r="AC628" s="26"/>
    </row>
    <row r="629">
      <c r="AA629" s="25"/>
      <c r="AB629" s="26"/>
      <c r="AC629" s="26"/>
    </row>
    <row r="630">
      <c r="AA630" s="25"/>
      <c r="AB630" s="26"/>
      <c r="AC630" s="26"/>
    </row>
    <row r="631">
      <c r="AA631" s="25"/>
      <c r="AB631" s="26"/>
      <c r="AC631" s="26"/>
    </row>
    <row r="632">
      <c r="AA632" s="25"/>
      <c r="AB632" s="26"/>
      <c r="AC632" s="26"/>
    </row>
    <row r="633">
      <c r="AA633" s="25"/>
      <c r="AB633" s="26"/>
      <c r="AC633" s="26"/>
    </row>
    <row r="634">
      <c r="AA634" s="25"/>
      <c r="AB634" s="26"/>
      <c r="AC634" s="26"/>
    </row>
    <row r="635">
      <c r="AA635" s="25"/>
      <c r="AB635" s="26"/>
      <c r="AC635" s="26"/>
    </row>
    <row r="636">
      <c r="AA636" s="25"/>
      <c r="AB636" s="26"/>
      <c r="AC636" s="26"/>
    </row>
    <row r="637">
      <c r="AA637" s="25"/>
      <c r="AB637" s="26"/>
      <c r="AC637" s="26"/>
    </row>
    <row r="638">
      <c r="AA638" s="25"/>
      <c r="AB638" s="26"/>
      <c r="AC638" s="26"/>
    </row>
    <row r="639">
      <c r="AA639" s="25"/>
      <c r="AB639" s="26"/>
      <c r="AC639" s="26"/>
    </row>
    <row r="640">
      <c r="AA640" s="25"/>
      <c r="AB640" s="26"/>
      <c r="AC640" s="26"/>
    </row>
    <row r="641">
      <c r="AA641" s="25"/>
      <c r="AB641" s="26"/>
      <c r="AC641" s="26"/>
    </row>
    <row r="642">
      <c r="AA642" s="25"/>
      <c r="AB642" s="26"/>
      <c r="AC642" s="26"/>
    </row>
    <row r="643">
      <c r="AA643" s="25"/>
      <c r="AB643" s="26"/>
      <c r="AC643" s="26"/>
    </row>
    <row r="644">
      <c r="AA644" s="25"/>
      <c r="AB644" s="26"/>
      <c r="AC644" s="26"/>
    </row>
    <row r="645">
      <c r="AA645" s="25"/>
      <c r="AB645" s="26"/>
      <c r="AC645" s="26"/>
    </row>
    <row r="646">
      <c r="AA646" s="25"/>
      <c r="AB646" s="26"/>
      <c r="AC646" s="26"/>
    </row>
    <row r="647">
      <c r="AA647" s="25"/>
      <c r="AB647" s="26"/>
      <c r="AC647" s="26"/>
    </row>
    <row r="648">
      <c r="AA648" s="25"/>
      <c r="AB648" s="26"/>
      <c r="AC648" s="26"/>
    </row>
    <row r="649">
      <c r="AA649" s="25"/>
      <c r="AB649" s="26"/>
      <c r="AC649" s="26"/>
    </row>
    <row r="650">
      <c r="AA650" s="25"/>
      <c r="AB650" s="26"/>
      <c r="AC650" s="26"/>
    </row>
    <row r="651">
      <c r="AA651" s="25"/>
      <c r="AB651" s="26"/>
      <c r="AC651" s="26"/>
    </row>
    <row r="652">
      <c r="AA652" s="25"/>
      <c r="AB652" s="26"/>
      <c r="AC652" s="26"/>
    </row>
    <row r="653">
      <c r="AA653" s="25"/>
      <c r="AB653" s="26"/>
      <c r="AC653" s="26"/>
    </row>
    <row r="654">
      <c r="AA654" s="25"/>
      <c r="AB654" s="26"/>
      <c r="AC654" s="26"/>
    </row>
    <row r="655">
      <c r="AA655" s="25"/>
      <c r="AB655" s="26"/>
      <c r="AC655" s="26"/>
    </row>
    <row r="656">
      <c r="AA656" s="25"/>
      <c r="AB656" s="26"/>
      <c r="AC656" s="26"/>
    </row>
    <row r="657">
      <c r="AA657" s="25"/>
      <c r="AB657" s="26"/>
      <c r="AC657" s="26"/>
    </row>
    <row r="658">
      <c r="AA658" s="25"/>
      <c r="AB658" s="26"/>
      <c r="AC658" s="26"/>
    </row>
    <row r="659">
      <c r="AA659" s="25"/>
      <c r="AB659" s="26"/>
      <c r="AC659" s="26"/>
    </row>
    <row r="660">
      <c r="AA660" s="25"/>
      <c r="AB660" s="26"/>
      <c r="AC660" s="26"/>
    </row>
    <row r="661">
      <c r="AA661" s="25"/>
      <c r="AB661" s="26"/>
      <c r="AC661" s="26"/>
    </row>
    <row r="662">
      <c r="AA662" s="25"/>
      <c r="AB662" s="26"/>
      <c r="AC662" s="26"/>
    </row>
    <row r="663">
      <c r="AA663" s="25"/>
      <c r="AB663" s="26"/>
      <c r="AC663" s="26"/>
    </row>
    <row r="664">
      <c r="AA664" s="25"/>
      <c r="AB664" s="26"/>
      <c r="AC664" s="26"/>
    </row>
    <row r="665">
      <c r="AA665" s="25"/>
      <c r="AB665" s="26"/>
      <c r="AC665" s="26"/>
    </row>
    <row r="666">
      <c r="AA666" s="25"/>
      <c r="AB666" s="26"/>
      <c r="AC666" s="26"/>
    </row>
    <row r="667">
      <c r="AA667" s="25"/>
      <c r="AB667" s="26"/>
      <c r="AC667" s="26"/>
    </row>
    <row r="668">
      <c r="AA668" s="25"/>
      <c r="AB668" s="26"/>
      <c r="AC668" s="26"/>
    </row>
    <row r="669">
      <c r="AA669" s="25"/>
      <c r="AB669" s="26"/>
      <c r="AC669" s="26"/>
    </row>
    <row r="670">
      <c r="AA670" s="25"/>
      <c r="AB670" s="26"/>
      <c r="AC670" s="26"/>
    </row>
    <row r="671">
      <c r="AA671" s="25"/>
      <c r="AB671" s="26"/>
      <c r="AC671" s="26"/>
    </row>
    <row r="672">
      <c r="AA672" s="25"/>
      <c r="AB672" s="26"/>
      <c r="AC672" s="26"/>
    </row>
    <row r="673">
      <c r="AA673" s="25"/>
      <c r="AB673" s="26"/>
      <c r="AC673" s="26"/>
    </row>
    <row r="674">
      <c r="AA674" s="25"/>
      <c r="AB674" s="26"/>
      <c r="AC674" s="26"/>
    </row>
    <row r="675">
      <c r="AA675" s="25"/>
      <c r="AB675" s="26"/>
      <c r="AC675" s="26"/>
    </row>
    <row r="676">
      <c r="AA676" s="25"/>
      <c r="AB676" s="26"/>
      <c r="AC676" s="26"/>
    </row>
    <row r="677">
      <c r="AA677" s="25"/>
      <c r="AB677" s="26"/>
      <c r="AC677" s="26"/>
    </row>
    <row r="678">
      <c r="AA678" s="25"/>
      <c r="AB678" s="26"/>
      <c r="AC678" s="26"/>
    </row>
    <row r="679">
      <c r="AA679" s="25"/>
      <c r="AB679" s="26"/>
      <c r="AC679" s="26"/>
    </row>
    <row r="680">
      <c r="AA680" s="25"/>
      <c r="AB680" s="26"/>
      <c r="AC680" s="26"/>
    </row>
    <row r="681">
      <c r="AA681" s="25"/>
      <c r="AB681" s="26"/>
      <c r="AC681" s="26"/>
    </row>
    <row r="682">
      <c r="AA682" s="25"/>
      <c r="AB682" s="26"/>
      <c r="AC682" s="26"/>
    </row>
    <row r="683">
      <c r="AA683" s="25"/>
      <c r="AB683" s="26"/>
      <c r="AC683" s="26"/>
    </row>
    <row r="684">
      <c r="AA684" s="25"/>
      <c r="AB684" s="26"/>
      <c r="AC684" s="26"/>
    </row>
    <row r="685">
      <c r="AA685" s="25"/>
      <c r="AB685" s="26"/>
      <c r="AC685" s="26"/>
    </row>
    <row r="686">
      <c r="AA686" s="25"/>
      <c r="AB686" s="26"/>
      <c r="AC686" s="26"/>
    </row>
    <row r="687">
      <c r="AA687" s="25"/>
      <c r="AB687" s="26"/>
      <c r="AC687" s="26"/>
    </row>
    <row r="688">
      <c r="AA688" s="25"/>
      <c r="AB688" s="26"/>
      <c r="AC688" s="26"/>
    </row>
    <row r="689">
      <c r="AA689" s="25"/>
      <c r="AB689" s="26"/>
      <c r="AC689" s="26"/>
    </row>
    <row r="690">
      <c r="AA690" s="25"/>
      <c r="AB690" s="26"/>
      <c r="AC690" s="26"/>
    </row>
    <row r="691">
      <c r="AA691" s="25"/>
      <c r="AB691" s="26"/>
      <c r="AC691" s="26"/>
    </row>
    <row r="692">
      <c r="AA692" s="25"/>
      <c r="AB692" s="26"/>
      <c r="AC692" s="26"/>
    </row>
    <row r="693">
      <c r="AA693" s="25"/>
      <c r="AB693" s="26"/>
      <c r="AC693" s="26"/>
    </row>
    <row r="694">
      <c r="AA694" s="25"/>
      <c r="AB694" s="26"/>
      <c r="AC694" s="26"/>
    </row>
    <row r="695">
      <c r="AA695" s="25"/>
      <c r="AB695" s="26"/>
      <c r="AC695" s="26"/>
    </row>
    <row r="696">
      <c r="AA696" s="25"/>
      <c r="AB696" s="26"/>
      <c r="AC696" s="26"/>
    </row>
    <row r="697">
      <c r="AA697" s="25"/>
      <c r="AB697" s="26"/>
      <c r="AC697" s="26"/>
    </row>
    <row r="698">
      <c r="AA698" s="25"/>
      <c r="AB698" s="26"/>
      <c r="AC698" s="26"/>
    </row>
    <row r="699">
      <c r="AA699" s="25"/>
      <c r="AB699" s="26"/>
      <c r="AC699" s="26"/>
    </row>
    <row r="700">
      <c r="AA700" s="25"/>
      <c r="AB700" s="26"/>
      <c r="AC700" s="26"/>
    </row>
    <row r="701">
      <c r="AA701" s="25"/>
      <c r="AB701" s="26"/>
      <c r="AC701" s="26"/>
    </row>
    <row r="702">
      <c r="AA702" s="25"/>
      <c r="AB702" s="26"/>
      <c r="AC702" s="26"/>
    </row>
    <row r="703">
      <c r="AA703" s="25"/>
      <c r="AB703" s="26"/>
      <c r="AC703" s="26"/>
    </row>
    <row r="704">
      <c r="AA704" s="25"/>
      <c r="AB704" s="26"/>
      <c r="AC704" s="26"/>
    </row>
    <row r="705">
      <c r="AA705" s="25"/>
      <c r="AB705" s="26"/>
      <c r="AC705" s="26"/>
    </row>
    <row r="706">
      <c r="AA706" s="25"/>
      <c r="AB706" s="26"/>
      <c r="AC706" s="26"/>
    </row>
    <row r="707">
      <c r="AA707" s="25"/>
      <c r="AB707" s="26"/>
      <c r="AC707" s="26"/>
    </row>
    <row r="708">
      <c r="AA708" s="25"/>
      <c r="AB708" s="26"/>
      <c r="AC708" s="26"/>
    </row>
    <row r="709">
      <c r="AA709" s="25"/>
      <c r="AB709" s="26"/>
      <c r="AC709" s="26"/>
    </row>
    <row r="710">
      <c r="AA710" s="25"/>
      <c r="AB710" s="26"/>
      <c r="AC710" s="26"/>
    </row>
    <row r="711">
      <c r="AA711" s="25"/>
      <c r="AB711" s="26"/>
      <c r="AC711" s="26"/>
    </row>
    <row r="712">
      <c r="AA712" s="25"/>
      <c r="AB712" s="26"/>
      <c r="AC712" s="26"/>
    </row>
    <row r="713">
      <c r="AA713" s="25"/>
      <c r="AB713" s="26"/>
      <c r="AC713" s="26"/>
    </row>
    <row r="714">
      <c r="AA714" s="25"/>
      <c r="AB714" s="26"/>
      <c r="AC714" s="26"/>
    </row>
    <row r="715">
      <c r="AA715" s="25"/>
      <c r="AB715" s="26"/>
      <c r="AC715" s="26"/>
    </row>
    <row r="716">
      <c r="AA716" s="25"/>
      <c r="AB716" s="26"/>
      <c r="AC716" s="26"/>
    </row>
    <row r="717">
      <c r="AA717" s="25"/>
      <c r="AB717" s="26"/>
      <c r="AC717" s="26"/>
    </row>
    <row r="718">
      <c r="AA718" s="25"/>
      <c r="AB718" s="26"/>
      <c r="AC718" s="26"/>
    </row>
    <row r="719">
      <c r="AA719" s="25"/>
      <c r="AB719" s="26"/>
      <c r="AC719" s="26"/>
    </row>
    <row r="720">
      <c r="AA720" s="25"/>
      <c r="AB720" s="26"/>
      <c r="AC720" s="26"/>
    </row>
    <row r="721">
      <c r="AA721" s="25"/>
      <c r="AB721" s="26"/>
      <c r="AC721" s="26"/>
    </row>
    <row r="722">
      <c r="AA722" s="25"/>
      <c r="AB722" s="26"/>
      <c r="AC722" s="26"/>
    </row>
    <row r="723">
      <c r="AA723" s="25"/>
      <c r="AB723" s="26"/>
      <c r="AC723" s="26"/>
    </row>
    <row r="724">
      <c r="AA724" s="25"/>
      <c r="AB724" s="26"/>
      <c r="AC724" s="26"/>
    </row>
    <row r="725">
      <c r="AA725" s="25"/>
      <c r="AB725" s="26"/>
      <c r="AC725" s="26"/>
    </row>
    <row r="726">
      <c r="AA726" s="25"/>
      <c r="AB726" s="26"/>
      <c r="AC726" s="26"/>
    </row>
    <row r="727">
      <c r="AA727" s="25"/>
      <c r="AB727" s="26"/>
      <c r="AC727" s="26"/>
    </row>
    <row r="728">
      <c r="AA728" s="25"/>
      <c r="AB728" s="26"/>
      <c r="AC728" s="26"/>
    </row>
    <row r="729">
      <c r="AA729" s="25"/>
      <c r="AB729" s="26"/>
      <c r="AC729" s="26"/>
    </row>
    <row r="730">
      <c r="AA730" s="25"/>
      <c r="AB730" s="26"/>
      <c r="AC730" s="26"/>
    </row>
    <row r="731">
      <c r="AA731" s="25"/>
      <c r="AB731" s="26"/>
      <c r="AC731" s="26"/>
    </row>
    <row r="732">
      <c r="AA732" s="25"/>
      <c r="AB732" s="26"/>
      <c r="AC732" s="26"/>
    </row>
    <row r="733">
      <c r="AA733" s="25"/>
      <c r="AB733" s="26"/>
      <c r="AC733" s="26"/>
    </row>
    <row r="734">
      <c r="AA734" s="25"/>
      <c r="AB734" s="26"/>
      <c r="AC734" s="26"/>
    </row>
    <row r="735">
      <c r="AA735" s="25"/>
      <c r="AB735" s="26"/>
      <c r="AC735" s="26"/>
    </row>
    <row r="736">
      <c r="AA736" s="25"/>
      <c r="AB736" s="26"/>
      <c r="AC736" s="26"/>
    </row>
    <row r="737">
      <c r="AA737" s="25"/>
      <c r="AB737" s="26"/>
      <c r="AC737" s="26"/>
    </row>
    <row r="738">
      <c r="AA738" s="25"/>
      <c r="AB738" s="26"/>
      <c r="AC738" s="26"/>
    </row>
    <row r="739">
      <c r="AA739" s="25"/>
      <c r="AB739" s="26"/>
      <c r="AC739" s="26"/>
    </row>
    <row r="740">
      <c r="AA740" s="25"/>
      <c r="AB740" s="26"/>
      <c r="AC740" s="26"/>
    </row>
    <row r="741">
      <c r="AA741" s="25"/>
      <c r="AB741" s="26"/>
      <c r="AC741" s="26"/>
    </row>
    <row r="742">
      <c r="AA742" s="25"/>
      <c r="AB742" s="26"/>
      <c r="AC742" s="26"/>
    </row>
    <row r="743">
      <c r="AA743" s="25"/>
      <c r="AB743" s="26"/>
      <c r="AC743" s="26"/>
    </row>
    <row r="744">
      <c r="AA744" s="25"/>
      <c r="AB744" s="26"/>
      <c r="AC744" s="26"/>
    </row>
    <row r="745">
      <c r="AA745" s="25"/>
      <c r="AB745" s="26"/>
      <c r="AC745" s="26"/>
    </row>
    <row r="746">
      <c r="AA746" s="25"/>
      <c r="AB746" s="26"/>
      <c r="AC746" s="26"/>
    </row>
    <row r="747">
      <c r="AA747" s="25"/>
      <c r="AB747" s="26"/>
      <c r="AC747" s="26"/>
    </row>
    <row r="748">
      <c r="AA748" s="25"/>
      <c r="AB748" s="26"/>
      <c r="AC748" s="26"/>
    </row>
    <row r="749">
      <c r="AA749" s="25"/>
      <c r="AB749" s="26"/>
      <c r="AC749" s="26"/>
    </row>
    <row r="750">
      <c r="AA750" s="25"/>
      <c r="AB750" s="26"/>
      <c r="AC750" s="26"/>
    </row>
    <row r="751">
      <c r="AA751" s="25"/>
      <c r="AB751" s="26"/>
      <c r="AC751" s="26"/>
    </row>
    <row r="752">
      <c r="AA752" s="25"/>
      <c r="AB752" s="26"/>
      <c r="AC752" s="26"/>
    </row>
    <row r="753">
      <c r="AA753" s="25"/>
      <c r="AB753" s="26"/>
      <c r="AC753" s="26"/>
    </row>
    <row r="754">
      <c r="AA754" s="25"/>
      <c r="AB754" s="26"/>
      <c r="AC754" s="26"/>
    </row>
    <row r="755">
      <c r="AA755" s="25"/>
      <c r="AB755" s="26"/>
      <c r="AC755" s="26"/>
    </row>
    <row r="756">
      <c r="AA756" s="25"/>
      <c r="AB756" s="26"/>
      <c r="AC756" s="26"/>
    </row>
    <row r="757">
      <c r="AA757" s="25"/>
      <c r="AB757" s="26"/>
      <c r="AC757" s="26"/>
    </row>
    <row r="758">
      <c r="AA758" s="25"/>
      <c r="AB758" s="26"/>
      <c r="AC758" s="26"/>
    </row>
    <row r="759">
      <c r="AA759" s="25"/>
      <c r="AB759" s="26"/>
      <c r="AC759" s="26"/>
    </row>
    <row r="760">
      <c r="AA760" s="25"/>
      <c r="AB760" s="26"/>
      <c r="AC760" s="26"/>
    </row>
    <row r="761">
      <c r="AA761" s="25"/>
      <c r="AB761" s="26"/>
      <c r="AC761" s="26"/>
    </row>
    <row r="762">
      <c r="AA762" s="25"/>
      <c r="AB762" s="26"/>
      <c r="AC762" s="26"/>
    </row>
    <row r="763">
      <c r="AA763" s="25"/>
      <c r="AB763" s="26"/>
      <c r="AC763" s="26"/>
    </row>
    <row r="764">
      <c r="AA764" s="25"/>
      <c r="AB764" s="26"/>
      <c r="AC764" s="26"/>
    </row>
    <row r="765">
      <c r="AA765" s="25"/>
      <c r="AB765" s="26"/>
      <c r="AC765" s="26"/>
    </row>
    <row r="766">
      <c r="AA766" s="25"/>
      <c r="AB766" s="26"/>
      <c r="AC766" s="26"/>
    </row>
    <row r="767">
      <c r="AA767" s="25"/>
      <c r="AB767" s="26"/>
      <c r="AC767" s="26"/>
    </row>
    <row r="768">
      <c r="AA768" s="25"/>
      <c r="AB768" s="26"/>
      <c r="AC768" s="26"/>
    </row>
    <row r="769">
      <c r="AA769" s="25"/>
      <c r="AB769" s="26"/>
      <c r="AC769" s="26"/>
    </row>
    <row r="770">
      <c r="AA770" s="25"/>
      <c r="AB770" s="26"/>
      <c r="AC770" s="26"/>
    </row>
    <row r="771">
      <c r="AA771" s="25"/>
      <c r="AB771" s="26"/>
      <c r="AC771" s="26"/>
    </row>
    <row r="772">
      <c r="AA772" s="25"/>
      <c r="AB772" s="26"/>
      <c r="AC772" s="26"/>
    </row>
    <row r="773">
      <c r="AA773" s="25"/>
      <c r="AB773" s="26"/>
      <c r="AC773" s="26"/>
    </row>
    <row r="774">
      <c r="AA774" s="25"/>
      <c r="AB774" s="26"/>
      <c r="AC774" s="26"/>
    </row>
    <row r="775">
      <c r="AA775" s="25"/>
      <c r="AB775" s="26"/>
      <c r="AC775" s="26"/>
    </row>
    <row r="776">
      <c r="AA776" s="25"/>
      <c r="AB776" s="26"/>
      <c r="AC776" s="26"/>
    </row>
    <row r="777">
      <c r="AA777" s="25"/>
      <c r="AB777" s="26"/>
      <c r="AC777" s="26"/>
    </row>
    <row r="778">
      <c r="AA778" s="25"/>
      <c r="AB778" s="26"/>
      <c r="AC778" s="26"/>
    </row>
    <row r="779">
      <c r="AA779" s="25"/>
      <c r="AB779" s="26"/>
      <c r="AC779" s="26"/>
    </row>
    <row r="780">
      <c r="AA780" s="25"/>
      <c r="AB780" s="26"/>
      <c r="AC780" s="26"/>
    </row>
    <row r="781">
      <c r="AA781" s="25"/>
      <c r="AB781" s="26"/>
      <c r="AC781" s="26"/>
    </row>
    <row r="782">
      <c r="AA782" s="25"/>
      <c r="AB782" s="26"/>
      <c r="AC782" s="26"/>
    </row>
    <row r="783">
      <c r="AA783" s="25"/>
      <c r="AB783" s="26"/>
      <c r="AC783" s="26"/>
    </row>
    <row r="784">
      <c r="AA784" s="25"/>
      <c r="AB784" s="26"/>
      <c r="AC784" s="26"/>
    </row>
    <row r="785">
      <c r="AA785" s="25"/>
      <c r="AB785" s="26"/>
      <c r="AC785" s="26"/>
    </row>
    <row r="786">
      <c r="AA786" s="25"/>
      <c r="AB786" s="26"/>
      <c r="AC786" s="26"/>
    </row>
    <row r="787">
      <c r="AA787" s="25"/>
      <c r="AB787" s="26"/>
      <c r="AC787" s="26"/>
    </row>
    <row r="788">
      <c r="AA788" s="25"/>
      <c r="AB788" s="26"/>
      <c r="AC788" s="26"/>
    </row>
    <row r="789">
      <c r="AA789" s="25"/>
      <c r="AB789" s="26"/>
      <c r="AC789" s="26"/>
    </row>
    <row r="790">
      <c r="AA790" s="25"/>
      <c r="AB790" s="26"/>
      <c r="AC790" s="26"/>
    </row>
    <row r="791">
      <c r="AA791" s="25"/>
      <c r="AB791" s="26"/>
      <c r="AC791" s="26"/>
    </row>
    <row r="792">
      <c r="AA792" s="25"/>
      <c r="AB792" s="26"/>
      <c r="AC792" s="26"/>
    </row>
    <row r="793">
      <c r="AA793" s="25"/>
      <c r="AB793" s="26"/>
      <c r="AC793" s="26"/>
    </row>
    <row r="794">
      <c r="AA794" s="25"/>
      <c r="AB794" s="26"/>
      <c r="AC794" s="26"/>
    </row>
    <row r="795">
      <c r="AA795" s="25"/>
      <c r="AB795" s="26"/>
      <c r="AC795" s="26"/>
    </row>
    <row r="796">
      <c r="AA796" s="25"/>
      <c r="AB796" s="26"/>
      <c r="AC796" s="26"/>
    </row>
    <row r="797">
      <c r="AA797" s="25"/>
      <c r="AB797" s="26"/>
      <c r="AC797" s="26"/>
    </row>
    <row r="798">
      <c r="AA798" s="25"/>
      <c r="AB798" s="26"/>
      <c r="AC798" s="26"/>
    </row>
    <row r="799">
      <c r="AA799" s="25"/>
      <c r="AB799" s="26"/>
      <c r="AC799" s="26"/>
    </row>
    <row r="800">
      <c r="AA800" s="25"/>
      <c r="AB800" s="26"/>
      <c r="AC800" s="26"/>
    </row>
    <row r="801">
      <c r="AA801" s="25"/>
      <c r="AB801" s="26"/>
      <c r="AC801" s="26"/>
    </row>
    <row r="802">
      <c r="AA802" s="25"/>
      <c r="AB802" s="26"/>
      <c r="AC802" s="26"/>
    </row>
    <row r="803">
      <c r="AA803" s="25"/>
      <c r="AB803" s="26"/>
      <c r="AC803" s="26"/>
    </row>
    <row r="804">
      <c r="AA804" s="25"/>
      <c r="AB804" s="26"/>
      <c r="AC804" s="26"/>
    </row>
    <row r="805">
      <c r="AA805" s="25"/>
      <c r="AB805" s="26"/>
      <c r="AC805" s="26"/>
    </row>
    <row r="806">
      <c r="AA806" s="25"/>
      <c r="AB806" s="26"/>
      <c r="AC806" s="26"/>
    </row>
    <row r="807">
      <c r="AA807" s="25"/>
      <c r="AB807" s="26"/>
      <c r="AC807" s="26"/>
    </row>
    <row r="808">
      <c r="AA808" s="25"/>
      <c r="AB808" s="26"/>
      <c r="AC808" s="26"/>
    </row>
    <row r="809">
      <c r="AA809" s="25"/>
      <c r="AB809" s="26"/>
      <c r="AC809" s="26"/>
    </row>
    <row r="810">
      <c r="AA810" s="25"/>
      <c r="AB810" s="26"/>
      <c r="AC810" s="26"/>
    </row>
    <row r="811">
      <c r="AA811" s="25"/>
      <c r="AB811" s="26"/>
      <c r="AC811" s="26"/>
    </row>
    <row r="812">
      <c r="AA812" s="25"/>
      <c r="AB812" s="26"/>
      <c r="AC812" s="26"/>
    </row>
    <row r="813">
      <c r="AA813" s="25"/>
      <c r="AB813" s="26"/>
      <c r="AC813" s="26"/>
    </row>
    <row r="814">
      <c r="AA814" s="25"/>
      <c r="AB814" s="26"/>
      <c r="AC814" s="26"/>
    </row>
    <row r="815">
      <c r="AA815" s="25"/>
      <c r="AB815" s="26"/>
      <c r="AC815" s="26"/>
    </row>
    <row r="816">
      <c r="AA816" s="25"/>
      <c r="AB816" s="26"/>
      <c r="AC816" s="26"/>
    </row>
    <row r="817">
      <c r="AA817" s="25"/>
      <c r="AB817" s="26"/>
      <c r="AC817" s="26"/>
    </row>
    <row r="818">
      <c r="AA818" s="25"/>
      <c r="AB818" s="26"/>
      <c r="AC818" s="26"/>
    </row>
    <row r="819">
      <c r="AA819" s="25"/>
      <c r="AB819" s="26"/>
      <c r="AC819" s="26"/>
    </row>
    <row r="820">
      <c r="AA820" s="25"/>
      <c r="AB820" s="26"/>
      <c r="AC820" s="26"/>
    </row>
    <row r="821">
      <c r="AA821" s="25"/>
      <c r="AB821" s="26"/>
      <c r="AC821" s="26"/>
    </row>
    <row r="822">
      <c r="AA822" s="25"/>
      <c r="AB822" s="26"/>
      <c r="AC822" s="26"/>
    </row>
    <row r="823">
      <c r="AA823" s="25"/>
      <c r="AB823" s="26"/>
      <c r="AC823" s="26"/>
    </row>
    <row r="824">
      <c r="AA824" s="25"/>
      <c r="AB824" s="26"/>
      <c r="AC824" s="26"/>
    </row>
    <row r="825">
      <c r="AA825" s="25"/>
      <c r="AB825" s="26"/>
      <c r="AC825" s="26"/>
    </row>
    <row r="826">
      <c r="AA826" s="25"/>
      <c r="AB826" s="26"/>
      <c r="AC826" s="26"/>
    </row>
    <row r="827">
      <c r="AA827" s="25"/>
      <c r="AB827" s="26"/>
      <c r="AC827" s="26"/>
    </row>
    <row r="828">
      <c r="AA828" s="25"/>
      <c r="AB828" s="26"/>
      <c r="AC828" s="26"/>
    </row>
    <row r="829">
      <c r="AA829" s="25"/>
      <c r="AB829" s="26"/>
      <c r="AC829" s="26"/>
    </row>
    <row r="830">
      <c r="AA830" s="25"/>
      <c r="AB830" s="26"/>
      <c r="AC830" s="26"/>
    </row>
    <row r="831">
      <c r="AA831" s="25"/>
      <c r="AB831" s="26"/>
      <c r="AC831" s="26"/>
    </row>
    <row r="832">
      <c r="AA832" s="25"/>
      <c r="AB832" s="26"/>
      <c r="AC832" s="26"/>
    </row>
    <row r="833">
      <c r="AA833" s="25"/>
      <c r="AB833" s="26"/>
      <c r="AC833" s="26"/>
    </row>
    <row r="834">
      <c r="AA834" s="25"/>
      <c r="AB834" s="26"/>
      <c r="AC834" s="26"/>
    </row>
    <row r="835">
      <c r="AA835" s="25"/>
      <c r="AB835" s="26"/>
      <c r="AC835" s="26"/>
    </row>
    <row r="836">
      <c r="AA836" s="25"/>
      <c r="AB836" s="26"/>
      <c r="AC836" s="26"/>
    </row>
    <row r="837">
      <c r="AA837" s="25"/>
      <c r="AB837" s="26"/>
      <c r="AC837" s="26"/>
    </row>
    <row r="838">
      <c r="AA838" s="25"/>
      <c r="AB838" s="26"/>
      <c r="AC838" s="26"/>
    </row>
    <row r="839">
      <c r="AA839" s="25"/>
      <c r="AB839" s="26"/>
      <c r="AC839" s="26"/>
    </row>
    <row r="840">
      <c r="AA840" s="25"/>
      <c r="AB840" s="26"/>
      <c r="AC840" s="26"/>
    </row>
    <row r="841">
      <c r="AA841" s="25"/>
      <c r="AB841" s="26"/>
      <c r="AC841" s="26"/>
    </row>
    <row r="842">
      <c r="AA842" s="25"/>
      <c r="AB842" s="26"/>
      <c r="AC842" s="26"/>
    </row>
    <row r="843">
      <c r="AA843" s="25"/>
      <c r="AB843" s="26"/>
      <c r="AC843" s="26"/>
    </row>
    <row r="844">
      <c r="AA844" s="25"/>
      <c r="AB844" s="26"/>
      <c r="AC844" s="26"/>
    </row>
    <row r="845">
      <c r="AA845" s="25"/>
      <c r="AB845" s="26"/>
      <c r="AC845" s="26"/>
    </row>
    <row r="846">
      <c r="AA846" s="25"/>
      <c r="AB846" s="26"/>
      <c r="AC846" s="26"/>
    </row>
    <row r="847">
      <c r="AA847" s="25"/>
      <c r="AB847" s="26"/>
      <c r="AC847" s="26"/>
    </row>
    <row r="848">
      <c r="AA848" s="25"/>
      <c r="AB848" s="26"/>
      <c r="AC848" s="26"/>
    </row>
    <row r="849">
      <c r="AA849" s="25"/>
      <c r="AB849" s="26"/>
      <c r="AC849" s="26"/>
    </row>
    <row r="850">
      <c r="AA850" s="25"/>
      <c r="AB850" s="26"/>
      <c r="AC850" s="26"/>
    </row>
    <row r="851">
      <c r="AA851" s="25"/>
      <c r="AB851" s="26"/>
      <c r="AC851" s="26"/>
    </row>
    <row r="852">
      <c r="AA852" s="25"/>
      <c r="AB852" s="26"/>
      <c r="AC852" s="26"/>
    </row>
    <row r="853">
      <c r="AA853" s="25"/>
      <c r="AB853" s="26"/>
      <c r="AC853" s="26"/>
    </row>
    <row r="854">
      <c r="AA854" s="25"/>
      <c r="AB854" s="26"/>
      <c r="AC854" s="26"/>
    </row>
    <row r="855">
      <c r="AA855" s="25"/>
      <c r="AB855" s="26"/>
      <c r="AC855" s="26"/>
    </row>
    <row r="856">
      <c r="AA856" s="25"/>
      <c r="AB856" s="26"/>
      <c r="AC856" s="26"/>
    </row>
    <row r="857">
      <c r="AA857" s="25"/>
      <c r="AB857" s="26"/>
      <c r="AC857" s="26"/>
    </row>
    <row r="858">
      <c r="AA858" s="25"/>
      <c r="AB858" s="26"/>
      <c r="AC858" s="26"/>
    </row>
    <row r="859">
      <c r="AA859" s="25"/>
      <c r="AB859" s="26"/>
      <c r="AC859" s="26"/>
    </row>
    <row r="860">
      <c r="AA860" s="25"/>
      <c r="AB860" s="26"/>
      <c r="AC860" s="26"/>
    </row>
    <row r="861">
      <c r="AA861" s="25"/>
      <c r="AB861" s="26"/>
      <c r="AC861" s="26"/>
    </row>
    <row r="862">
      <c r="AA862" s="25"/>
      <c r="AB862" s="26"/>
      <c r="AC862" s="26"/>
    </row>
    <row r="863">
      <c r="AA863" s="25"/>
      <c r="AB863" s="26"/>
      <c r="AC863" s="26"/>
    </row>
    <row r="864">
      <c r="AA864" s="25"/>
      <c r="AB864" s="26"/>
      <c r="AC864" s="26"/>
    </row>
    <row r="865">
      <c r="AA865" s="25"/>
      <c r="AB865" s="26"/>
      <c r="AC865" s="26"/>
    </row>
    <row r="866">
      <c r="AA866" s="25"/>
      <c r="AB866" s="26"/>
      <c r="AC866" s="26"/>
    </row>
    <row r="867">
      <c r="AA867" s="25"/>
      <c r="AB867" s="26"/>
      <c r="AC867" s="26"/>
    </row>
    <row r="868">
      <c r="AA868" s="25"/>
      <c r="AB868" s="26"/>
      <c r="AC868" s="26"/>
    </row>
    <row r="869">
      <c r="AA869" s="25"/>
      <c r="AB869" s="26"/>
      <c r="AC869" s="26"/>
    </row>
    <row r="870">
      <c r="AA870" s="25"/>
      <c r="AB870" s="26"/>
      <c r="AC870" s="26"/>
    </row>
    <row r="871">
      <c r="AA871" s="25"/>
      <c r="AB871" s="26"/>
      <c r="AC871" s="26"/>
    </row>
    <row r="872">
      <c r="AA872" s="25"/>
      <c r="AB872" s="26"/>
      <c r="AC872" s="26"/>
    </row>
    <row r="873">
      <c r="AA873" s="25"/>
      <c r="AB873" s="26"/>
      <c r="AC873" s="26"/>
    </row>
    <row r="874">
      <c r="AA874" s="25"/>
      <c r="AB874" s="26"/>
      <c r="AC874" s="26"/>
    </row>
    <row r="875">
      <c r="AA875" s="25"/>
      <c r="AB875" s="26"/>
      <c r="AC875" s="26"/>
    </row>
    <row r="876">
      <c r="AA876" s="25"/>
      <c r="AB876" s="26"/>
      <c r="AC876" s="26"/>
    </row>
    <row r="877">
      <c r="AA877" s="25"/>
      <c r="AB877" s="26"/>
      <c r="AC877" s="26"/>
    </row>
    <row r="878">
      <c r="AA878" s="25"/>
      <c r="AB878" s="26"/>
      <c r="AC878" s="26"/>
    </row>
    <row r="879">
      <c r="AA879" s="25"/>
      <c r="AB879" s="26"/>
      <c r="AC879" s="26"/>
    </row>
    <row r="880">
      <c r="AA880" s="25"/>
      <c r="AB880" s="26"/>
      <c r="AC880" s="26"/>
    </row>
    <row r="881">
      <c r="AA881" s="25"/>
      <c r="AB881" s="26"/>
      <c r="AC881" s="26"/>
    </row>
    <row r="882">
      <c r="AA882" s="25"/>
      <c r="AB882" s="26"/>
      <c r="AC882" s="26"/>
    </row>
    <row r="883">
      <c r="AA883" s="25"/>
      <c r="AB883" s="26"/>
      <c r="AC883" s="26"/>
    </row>
    <row r="884">
      <c r="AA884" s="25"/>
      <c r="AB884" s="26"/>
      <c r="AC884" s="26"/>
    </row>
    <row r="885">
      <c r="AA885" s="25"/>
      <c r="AB885" s="26"/>
      <c r="AC885" s="26"/>
    </row>
    <row r="886">
      <c r="AA886" s="25"/>
      <c r="AB886" s="26"/>
      <c r="AC886" s="26"/>
    </row>
    <row r="887">
      <c r="AA887" s="25"/>
      <c r="AB887" s="26"/>
      <c r="AC887" s="26"/>
    </row>
    <row r="888">
      <c r="AA888" s="25"/>
      <c r="AB888" s="26"/>
      <c r="AC888" s="26"/>
    </row>
    <row r="889">
      <c r="AA889" s="25"/>
      <c r="AB889" s="26"/>
      <c r="AC889" s="26"/>
    </row>
    <row r="890">
      <c r="AA890" s="25"/>
      <c r="AB890" s="26"/>
      <c r="AC890" s="26"/>
    </row>
    <row r="891">
      <c r="AA891" s="25"/>
      <c r="AB891" s="26"/>
      <c r="AC891" s="26"/>
    </row>
    <row r="892">
      <c r="AA892" s="25"/>
      <c r="AB892" s="26"/>
      <c r="AC892" s="26"/>
    </row>
    <row r="893">
      <c r="AA893" s="25"/>
      <c r="AB893" s="26"/>
      <c r="AC893" s="26"/>
    </row>
    <row r="894">
      <c r="AA894" s="25"/>
      <c r="AB894" s="26"/>
      <c r="AC894" s="26"/>
    </row>
    <row r="895">
      <c r="AA895" s="25"/>
      <c r="AB895" s="26"/>
      <c r="AC895" s="26"/>
    </row>
    <row r="896">
      <c r="AA896" s="25"/>
      <c r="AB896" s="26"/>
      <c r="AC896" s="26"/>
    </row>
    <row r="897">
      <c r="AA897" s="25"/>
      <c r="AB897" s="26"/>
      <c r="AC897" s="26"/>
    </row>
    <row r="898">
      <c r="AA898" s="25"/>
      <c r="AB898" s="26"/>
      <c r="AC898" s="26"/>
    </row>
    <row r="899">
      <c r="AA899" s="25"/>
      <c r="AB899" s="26"/>
      <c r="AC899" s="26"/>
    </row>
    <row r="900">
      <c r="AA900" s="25"/>
      <c r="AB900" s="26"/>
      <c r="AC900" s="26"/>
    </row>
    <row r="901">
      <c r="AA901" s="25"/>
      <c r="AB901" s="26"/>
      <c r="AC901" s="26"/>
    </row>
    <row r="902">
      <c r="AA902" s="25"/>
      <c r="AB902" s="26"/>
      <c r="AC902" s="26"/>
    </row>
    <row r="903">
      <c r="AA903" s="25"/>
      <c r="AB903" s="26"/>
      <c r="AC903" s="26"/>
    </row>
    <row r="904">
      <c r="AA904" s="25"/>
      <c r="AB904" s="26"/>
      <c r="AC904" s="26"/>
    </row>
    <row r="905">
      <c r="AA905" s="25"/>
      <c r="AB905" s="26"/>
      <c r="AC905" s="26"/>
    </row>
    <row r="906">
      <c r="AA906" s="25"/>
      <c r="AB906" s="26"/>
      <c r="AC906" s="26"/>
    </row>
    <row r="907">
      <c r="AA907" s="25"/>
      <c r="AB907" s="26"/>
      <c r="AC907" s="26"/>
    </row>
    <row r="908">
      <c r="AA908" s="25"/>
      <c r="AB908" s="26"/>
      <c r="AC908" s="26"/>
    </row>
    <row r="909">
      <c r="AA909" s="25"/>
      <c r="AB909" s="26"/>
      <c r="AC909" s="26"/>
    </row>
    <row r="910">
      <c r="AA910" s="25"/>
      <c r="AB910" s="26"/>
      <c r="AC910" s="26"/>
    </row>
    <row r="911">
      <c r="AA911" s="25"/>
      <c r="AB911" s="26"/>
      <c r="AC911" s="26"/>
    </row>
    <row r="912">
      <c r="AA912" s="25"/>
      <c r="AB912" s="26"/>
      <c r="AC912" s="26"/>
    </row>
    <row r="913">
      <c r="AA913" s="25"/>
      <c r="AB913" s="26"/>
      <c r="AC913" s="26"/>
    </row>
    <row r="914">
      <c r="AA914" s="25"/>
      <c r="AB914" s="26"/>
      <c r="AC914" s="26"/>
    </row>
    <row r="915">
      <c r="AA915" s="25"/>
      <c r="AB915" s="26"/>
      <c r="AC915" s="26"/>
    </row>
    <row r="916">
      <c r="AA916" s="25"/>
      <c r="AB916" s="26"/>
      <c r="AC916" s="26"/>
    </row>
    <row r="917">
      <c r="AA917" s="25"/>
      <c r="AB917" s="26"/>
      <c r="AC917" s="26"/>
    </row>
    <row r="918">
      <c r="AA918" s="25"/>
      <c r="AB918" s="26"/>
      <c r="AC918" s="26"/>
    </row>
    <row r="919">
      <c r="AA919" s="25"/>
      <c r="AB919" s="26"/>
      <c r="AC919" s="26"/>
    </row>
    <row r="920">
      <c r="AA920" s="25"/>
      <c r="AB920" s="26"/>
      <c r="AC920" s="26"/>
    </row>
    <row r="921">
      <c r="AA921" s="25"/>
      <c r="AB921" s="26"/>
      <c r="AC921" s="26"/>
    </row>
    <row r="922">
      <c r="AA922" s="25"/>
      <c r="AB922" s="26"/>
      <c r="AC922" s="26"/>
    </row>
    <row r="923">
      <c r="AA923" s="25"/>
      <c r="AB923" s="26"/>
      <c r="AC923" s="26"/>
    </row>
    <row r="924">
      <c r="AA924" s="25"/>
      <c r="AB924" s="26"/>
      <c r="AC924" s="26"/>
    </row>
    <row r="925">
      <c r="AA925" s="25"/>
      <c r="AB925" s="26"/>
      <c r="AC925" s="26"/>
    </row>
    <row r="926">
      <c r="AA926" s="25"/>
      <c r="AB926" s="26"/>
      <c r="AC926" s="26"/>
    </row>
    <row r="927">
      <c r="AA927" s="25"/>
      <c r="AB927" s="26"/>
      <c r="AC927" s="26"/>
    </row>
    <row r="928">
      <c r="AA928" s="25"/>
      <c r="AB928" s="26"/>
      <c r="AC928" s="26"/>
    </row>
    <row r="929">
      <c r="AA929" s="25"/>
      <c r="AB929" s="26"/>
      <c r="AC929" s="26"/>
    </row>
    <row r="930">
      <c r="AA930" s="25"/>
      <c r="AB930" s="26"/>
      <c r="AC930" s="26"/>
    </row>
    <row r="931">
      <c r="AA931" s="25"/>
      <c r="AB931" s="26"/>
      <c r="AC931" s="26"/>
    </row>
    <row r="932">
      <c r="AA932" s="25"/>
      <c r="AB932" s="26"/>
      <c r="AC932" s="26"/>
    </row>
    <row r="933">
      <c r="AA933" s="25"/>
      <c r="AB933" s="26"/>
      <c r="AC933" s="26"/>
    </row>
    <row r="934">
      <c r="AA934" s="25"/>
      <c r="AB934" s="26"/>
      <c r="AC934" s="26"/>
    </row>
    <row r="935">
      <c r="AA935" s="25"/>
      <c r="AB935" s="26"/>
      <c r="AC935" s="26"/>
    </row>
    <row r="936">
      <c r="AA936" s="25"/>
      <c r="AB936" s="26"/>
      <c r="AC936" s="26"/>
    </row>
    <row r="937">
      <c r="AA937" s="25"/>
      <c r="AB937" s="26"/>
      <c r="AC937" s="26"/>
    </row>
    <row r="938">
      <c r="AA938" s="25"/>
      <c r="AB938" s="26"/>
      <c r="AC938" s="26"/>
    </row>
    <row r="939">
      <c r="AA939" s="25"/>
      <c r="AB939" s="26"/>
      <c r="AC939" s="26"/>
    </row>
    <row r="940">
      <c r="AA940" s="25"/>
      <c r="AB940" s="26"/>
      <c r="AC940" s="26"/>
    </row>
    <row r="941">
      <c r="AA941" s="25"/>
      <c r="AB941" s="26"/>
      <c r="AC941" s="26"/>
    </row>
    <row r="942">
      <c r="AA942" s="25"/>
      <c r="AB942" s="26"/>
      <c r="AC942" s="26"/>
    </row>
    <row r="943">
      <c r="AA943" s="25"/>
      <c r="AB943" s="26"/>
      <c r="AC943" s="26"/>
    </row>
    <row r="944">
      <c r="AA944" s="25"/>
      <c r="AB944" s="26"/>
      <c r="AC944" s="26"/>
    </row>
    <row r="945">
      <c r="AA945" s="25"/>
      <c r="AB945" s="26"/>
      <c r="AC945" s="26"/>
    </row>
    <row r="946">
      <c r="AA946" s="25"/>
      <c r="AB946" s="26"/>
      <c r="AC946" s="26"/>
    </row>
    <row r="947">
      <c r="AA947" s="25"/>
      <c r="AB947" s="26"/>
      <c r="AC947" s="26"/>
    </row>
    <row r="948">
      <c r="AA948" s="25"/>
      <c r="AB948" s="26"/>
      <c r="AC948" s="26"/>
    </row>
    <row r="949">
      <c r="AA949" s="25"/>
      <c r="AB949" s="26"/>
      <c r="AC949" s="26"/>
    </row>
    <row r="950">
      <c r="AA950" s="25"/>
      <c r="AB950" s="26"/>
      <c r="AC950" s="26"/>
    </row>
    <row r="951">
      <c r="AA951" s="25"/>
      <c r="AB951" s="26"/>
      <c r="AC951" s="26"/>
    </row>
    <row r="952">
      <c r="AA952" s="25"/>
      <c r="AB952" s="26"/>
      <c r="AC952" s="26"/>
    </row>
    <row r="953">
      <c r="AA953" s="25"/>
      <c r="AB953" s="26"/>
      <c r="AC953" s="26"/>
    </row>
    <row r="954">
      <c r="AA954" s="25"/>
      <c r="AB954" s="26"/>
      <c r="AC954" s="26"/>
    </row>
    <row r="955">
      <c r="AA955" s="25"/>
      <c r="AB955" s="26"/>
      <c r="AC955" s="26"/>
    </row>
    <row r="956">
      <c r="AA956" s="25"/>
      <c r="AB956" s="26"/>
      <c r="AC956" s="26"/>
    </row>
    <row r="957">
      <c r="AA957" s="25"/>
      <c r="AB957" s="26"/>
      <c r="AC957" s="26"/>
    </row>
    <row r="958">
      <c r="AA958" s="25"/>
      <c r="AB958" s="26"/>
      <c r="AC958" s="26"/>
    </row>
    <row r="959">
      <c r="AA959" s="25"/>
      <c r="AB959" s="26"/>
      <c r="AC959" s="26"/>
    </row>
    <row r="960">
      <c r="AA960" s="25"/>
      <c r="AB960" s="26"/>
      <c r="AC960" s="26"/>
    </row>
    <row r="961">
      <c r="AA961" s="25"/>
      <c r="AB961" s="26"/>
      <c r="AC961" s="26"/>
    </row>
    <row r="962">
      <c r="AA962" s="25"/>
      <c r="AB962" s="26"/>
      <c r="AC962" s="26"/>
    </row>
    <row r="963">
      <c r="AA963" s="25"/>
      <c r="AB963" s="26"/>
      <c r="AC963" s="26"/>
    </row>
    <row r="964">
      <c r="AA964" s="25"/>
      <c r="AB964" s="26"/>
      <c r="AC964" s="26"/>
    </row>
    <row r="965">
      <c r="AA965" s="25"/>
      <c r="AB965" s="26"/>
      <c r="AC965" s="26"/>
    </row>
    <row r="966">
      <c r="AA966" s="25"/>
      <c r="AB966" s="26"/>
      <c r="AC966" s="26"/>
    </row>
    <row r="967">
      <c r="AA967" s="25"/>
      <c r="AB967" s="26"/>
      <c r="AC967" s="26"/>
    </row>
    <row r="968">
      <c r="AA968" s="25"/>
      <c r="AB968" s="26"/>
      <c r="AC968" s="26"/>
    </row>
    <row r="969">
      <c r="AA969" s="25"/>
      <c r="AB969" s="26"/>
      <c r="AC969" s="26"/>
    </row>
    <row r="970">
      <c r="AA970" s="25"/>
      <c r="AB970" s="26"/>
      <c r="AC970" s="26"/>
    </row>
    <row r="971">
      <c r="AA971" s="25"/>
      <c r="AB971" s="26"/>
      <c r="AC971" s="26"/>
    </row>
    <row r="972">
      <c r="AA972" s="25"/>
      <c r="AB972" s="26"/>
      <c r="AC972" s="26"/>
    </row>
    <row r="973">
      <c r="AA973" s="25"/>
      <c r="AB973" s="26"/>
      <c r="AC973" s="26"/>
    </row>
    <row r="974">
      <c r="AA974" s="25"/>
      <c r="AB974" s="26"/>
      <c r="AC974" s="26"/>
    </row>
    <row r="975">
      <c r="AA975" s="25"/>
      <c r="AB975" s="26"/>
      <c r="AC975" s="26"/>
    </row>
    <row r="976">
      <c r="AA976" s="25"/>
      <c r="AB976" s="26"/>
      <c r="AC976" s="26"/>
    </row>
    <row r="977">
      <c r="AA977" s="25"/>
      <c r="AB977" s="26"/>
      <c r="AC977" s="26"/>
    </row>
    <row r="978">
      <c r="AA978" s="25"/>
      <c r="AB978" s="26"/>
      <c r="AC978" s="26"/>
    </row>
    <row r="979">
      <c r="AA979" s="25"/>
      <c r="AB979" s="26"/>
      <c r="AC979" s="26"/>
    </row>
    <row r="980">
      <c r="AA980" s="25"/>
      <c r="AB980" s="26"/>
      <c r="AC980" s="26"/>
    </row>
    <row r="981">
      <c r="AA981" s="25"/>
      <c r="AB981" s="26"/>
      <c r="AC981" s="26"/>
    </row>
    <row r="982">
      <c r="AA982" s="25"/>
      <c r="AB982" s="26"/>
      <c r="AC982" s="26"/>
    </row>
    <row r="983">
      <c r="AA983" s="25"/>
      <c r="AB983" s="26"/>
      <c r="AC983" s="26"/>
    </row>
    <row r="984">
      <c r="AA984" s="25"/>
      <c r="AB984" s="26"/>
      <c r="AC984" s="26"/>
    </row>
    <row r="985">
      <c r="AA985" s="25"/>
      <c r="AB985" s="26"/>
      <c r="AC985" s="26"/>
    </row>
    <row r="986">
      <c r="AA986" s="25"/>
      <c r="AB986" s="26"/>
      <c r="AC986" s="26"/>
    </row>
    <row r="987">
      <c r="AA987" s="25"/>
      <c r="AB987" s="26"/>
      <c r="AC987" s="26"/>
    </row>
    <row r="988">
      <c r="AA988" s="25"/>
      <c r="AB988" s="26"/>
      <c r="AC988" s="26"/>
    </row>
    <row r="989">
      <c r="AA989" s="25"/>
      <c r="AB989" s="26"/>
      <c r="AC989" s="26"/>
    </row>
    <row r="990">
      <c r="AA990" s="25"/>
      <c r="AB990" s="26"/>
      <c r="AC990" s="26"/>
    </row>
    <row r="991">
      <c r="AA991" s="25"/>
      <c r="AB991" s="26"/>
      <c r="AC991" s="26"/>
    </row>
    <row r="992">
      <c r="AA992" s="25"/>
      <c r="AB992" s="26"/>
      <c r="AC992" s="26"/>
    </row>
    <row r="993">
      <c r="AA993" s="25"/>
      <c r="AB993" s="26"/>
      <c r="AC993" s="26"/>
    </row>
    <row r="994">
      <c r="AA994" s="25"/>
      <c r="AB994" s="26"/>
      <c r="AC994" s="26"/>
    </row>
    <row r="995">
      <c r="AA995" s="25"/>
      <c r="AB995" s="26"/>
      <c r="AC995" s="26"/>
    </row>
    <row r="996">
      <c r="AA996" s="25"/>
      <c r="AB996" s="26"/>
      <c r="AC996" s="26"/>
    </row>
    <row r="997">
      <c r="AA997" s="25"/>
      <c r="AB997" s="26"/>
      <c r="AC997" s="26"/>
    </row>
    <row r="998">
      <c r="AA998" s="25"/>
      <c r="AB998" s="26"/>
      <c r="AC998" s="26"/>
    </row>
    <row r="999">
      <c r="AA999" s="25"/>
      <c r="AB999" s="26"/>
      <c r="AC999" s="26"/>
    </row>
  </sheetData>
  <mergeCells count="9">
    <mergeCell ref="AD11:AE11"/>
    <mergeCell ref="B24:Y24"/>
    <mergeCell ref="C2:G2"/>
    <mergeCell ref="I2:M2"/>
    <mergeCell ref="O2:S2"/>
    <mergeCell ref="U2:Y2"/>
    <mergeCell ref="AD2:AE2"/>
    <mergeCell ref="AD5:AE5"/>
    <mergeCell ref="AD8:AE8"/>
  </mergeCells>
  <conditionalFormatting sqref="C49:Z53">
    <cfRule type="cellIs" dxfId="0" priority="1" operator="greaterThan">
      <formula>1</formula>
    </cfRule>
  </conditionalFormatting>
  <conditionalFormatting sqref="C49:Z53">
    <cfRule type="cellIs" dxfId="1" priority="2" operator="lessThan">
      <formula>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9.88"/>
    <col customWidth="1" min="16" max="16" width="26.25"/>
  </cols>
  <sheetData>
    <row r="1">
      <c r="Q1" s="107">
        <f t="shared" ref="Q1:AB1" si="1">Q11+Q16+Q22+Q27+Q32+Q42+Q47+Q52+Q57+Q62+Q67</f>
        <v>107.0393823</v>
      </c>
      <c r="R1" s="107">
        <f t="shared" si="1"/>
        <v>107.0393823</v>
      </c>
      <c r="S1" s="107">
        <f t="shared" si="1"/>
        <v>107.0393823</v>
      </c>
      <c r="T1" s="107">
        <f t="shared" si="1"/>
        <v>123.0636128</v>
      </c>
      <c r="U1" s="107">
        <f t="shared" si="1"/>
        <v>123.0636128</v>
      </c>
      <c r="V1" s="107">
        <f t="shared" si="1"/>
        <v>123.0636128</v>
      </c>
      <c r="W1" s="107">
        <f t="shared" si="1"/>
        <v>140.6254037</v>
      </c>
      <c r="X1" s="107">
        <f t="shared" si="1"/>
        <v>140.6254037</v>
      </c>
      <c r="Y1" s="107">
        <f t="shared" si="1"/>
        <v>140.6254037</v>
      </c>
      <c r="Z1" s="107">
        <f t="shared" si="1"/>
        <v>158.1871946</v>
      </c>
      <c r="AA1" s="107">
        <f t="shared" si="1"/>
        <v>158.1871946</v>
      </c>
      <c r="AB1" s="107">
        <f t="shared" si="1"/>
        <v>158.1871946</v>
      </c>
    </row>
    <row r="2">
      <c r="B2" s="48" t="s">
        <v>358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P2" s="108" t="s">
        <v>359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/>
    </row>
    <row r="3">
      <c r="B3" s="12" t="s">
        <v>76</v>
      </c>
      <c r="C3" s="59" t="s">
        <v>77</v>
      </c>
      <c r="D3" s="7"/>
      <c r="E3" s="8"/>
      <c r="F3" s="59" t="s">
        <v>78</v>
      </c>
      <c r="G3" s="7"/>
      <c r="H3" s="8"/>
      <c r="I3" s="59" t="s">
        <v>79</v>
      </c>
      <c r="J3" s="7"/>
      <c r="K3" s="8"/>
      <c r="L3" s="59" t="s">
        <v>80</v>
      </c>
      <c r="M3" s="7"/>
      <c r="N3" s="8"/>
      <c r="P3" s="12" t="s">
        <v>76</v>
      </c>
      <c r="Q3" s="59" t="s">
        <v>77</v>
      </c>
      <c r="R3" s="7"/>
      <c r="S3" s="8"/>
      <c r="T3" s="59" t="s">
        <v>78</v>
      </c>
      <c r="U3" s="7"/>
      <c r="V3" s="8"/>
      <c r="W3" s="59" t="s">
        <v>79</v>
      </c>
      <c r="X3" s="7"/>
      <c r="Y3" s="8"/>
      <c r="Z3" s="59" t="s">
        <v>80</v>
      </c>
      <c r="AA3" s="7"/>
      <c r="AB3" s="8"/>
    </row>
    <row r="4">
      <c r="B4" s="12" t="s">
        <v>141</v>
      </c>
      <c r="C4" s="31" t="s">
        <v>81</v>
      </c>
      <c r="D4" s="31" t="s">
        <v>82</v>
      </c>
      <c r="E4" s="31" t="s">
        <v>83</v>
      </c>
      <c r="F4" s="31" t="s">
        <v>84</v>
      </c>
      <c r="G4" s="31" t="s">
        <v>85</v>
      </c>
      <c r="H4" s="31" t="s">
        <v>86</v>
      </c>
      <c r="I4" s="31" t="s">
        <v>87</v>
      </c>
      <c r="J4" s="31" t="s">
        <v>88</v>
      </c>
      <c r="K4" s="31" t="s">
        <v>89</v>
      </c>
      <c r="L4" s="31" t="s">
        <v>90</v>
      </c>
      <c r="M4" s="31" t="s">
        <v>91</v>
      </c>
      <c r="N4" s="31" t="s">
        <v>92</v>
      </c>
      <c r="P4" s="12" t="s">
        <v>141</v>
      </c>
      <c r="Q4" s="31" t="s">
        <v>81</v>
      </c>
      <c r="R4" s="31" t="s">
        <v>82</v>
      </c>
      <c r="S4" s="31" t="s">
        <v>83</v>
      </c>
      <c r="T4" s="31" t="s">
        <v>84</v>
      </c>
      <c r="U4" s="31" t="s">
        <v>85</v>
      </c>
      <c r="V4" s="31" t="s">
        <v>86</v>
      </c>
      <c r="W4" s="31" t="s">
        <v>87</v>
      </c>
      <c r="X4" s="31" t="s">
        <v>88</v>
      </c>
      <c r="Y4" s="31" t="s">
        <v>89</v>
      </c>
      <c r="Z4" s="31" t="s">
        <v>90</v>
      </c>
      <c r="AA4" s="31" t="s">
        <v>91</v>
      </c>
      <c r="AB4" s="31" t="s">
        <v>92</v>
      </c>
    </row>
    <row r="5">
      <c r="B5" s="12" t="s">
        <v>142</v>
      </c>
      <c r="C5" s="45">
        <f t="shared" ref="C5:N5" si="2">count(C22:C38)+count(C44:C59)+count(C66:C71)+count(C77:C86)</f>
        <v>24</v>
      </c>
      <c r="D5" s="45">
        <f t="shared" si="2"/>
        <v>25</v>
      </c>
      <c r="E5" s="45">
        <f t="shared" si="2"/>
        <v>27</v>
      </c>
      <c r="F5" s="45">
        <f t="shared" si="2"/>
        <v>30</v>
      </c>
      <c r="G5" s="45">
        <f t="shared" si="2"/>
        <v>30</v>
      </c>
      <c r="H5" s="45">
        <f t="shared" si="2"/>
        <v>30</v>
      </c>
      <c r="I5" s="45">
        <f t="shared" si="2"/>
        <v>30</v>
      </c>
      <c r="J5" s="45">
        <f t="shared" si="2"/>
        <v>31</v>
      </c>
      <c r="K5" s="45">
        <f t="shared" si="2"/>
        <v>32</v>
      </c>
      <c r="L5" s="45">
        <f t="shared" si="2"/>
        <v>33</v>
      </c>
      <c r="M5" s="45">
        <f t="shared" si="2"/>
        <v>33</v>
      </c>
      <c r="N5" s="45">
        <f t="shared" si="2"/>
        <v>34</v>
      </c>
      <c r="P5" s="12" t="s">
        <v>360</v>
      </c>
      <c r="Q5" s="49">
        <v>200000.0</v>
      </c>
      <c r="R5" s="49">
        <v>200000.0</v>
      </c>
      <c r="S5" s="49">
        <v>200000.0</v>
      </c>
      <c r="T5" s="49">
        <v>220000.0</v>
      </c>
      <c r="U5" s="49">
        <v>220000.0</v>
      </c>
      <c r="V5" s="49">
        <v>220000.0</v>
      </c>
      <c r="W5" s="49">
        <v>240000.0</v>
      </c>
      <c r="X5" s="49">
        <v>240000.0</v>
      </c>
      <c r="Y5" s="49">
        <v>240000.0</v>
      </c>
      <c r="Z5" s="49">
        <v>260000.0</v>
      </c>
      <c r="AA5" s="49">
        <v>260000.0</v>
      </c>
      <c r="AB5" s="49">
        <v>260000.0</v>
      </c>
    </row>
    <row r="6">
      <c r="B6" s="12" t="s">
        <v>361</v>
      </c>
      <c r="C6" s="49">
        <f t="shared" ref="C6:N6" si="3">SUM(C7:C15)</f>
        <v>262495.7095</v>
      </c>
      <c r="D6" s="49">
        <f t="shared" si="3"/>
        <v>285895.7095</v>
      </c>
      <c r="E6" s="49">
        <f t="shared" si="3"/>
        <v>311895.7095</v>
      </c>
      <c r="F6" s="49">
        <f t="shared" si="3"/>
        <v>337573.7742</v>
      </c>
      <c r="G6" s="49">
        <f t="shared" si="3"/>
        <v>422573.7742</v>
      </c>
      <c r="H6" s="49">
        <f t="shared" si="3"/>
        <v>362573.7742</v>
      </c>
      <c r="I6" s="49">
        <f t="shared" si="3"/>
        <v>453925.1753</v>
      </c>
      <c r="J6" s="49">
        <f t="shared" si="3"/>
        <v>371925.1753</v>
      </c>
      <c r="K6" s="49">
        <f t="shared" si="3"/>
        <v>384925.1753</v>
      </c>
      <c r="L6" s="49">
        <f t="shared" si="3"/>
        <v>420776.5765</v>
      </c>
      <c r="M6" s="49">
        <f t="shared" si="3"/>
        <v>405776.5765</v>
      </c>
      <c r="N6" s="49">
        <f t="shared" si="3"/>
        <v>428776.5765</v>
      </c>
      <c r="O6" s="25">
        <f>sum(C6:N6)</f>
        <v>4449113.707</v>
      </c>
      <c r="P6" s="12" t="s">
        <v>362</v>
      </c>
      <c r="Q6" s="49">
        <v>15000.0</v>
      </c>
      <c r="R6" s="49">
        <v>15000.0</v>
      </c>
      <c r="S6" s="49">
        <v>15000.0</v>
      </c>
      <c r="T6" s="49">
        <v>20000.0</v>
      </c>
      <c r="U6" s="49">
        <v>20000.0</v>
      </c>
      <c r="V6" s="49">
        <v>20000.0</v>
      </c>
      <c r="W6" s="49">
        <v>30000.0</v>
      </c>
      <c r="X6" s="49">
        <v>30000.0</v>
      </c>
      <c r="Y6" s="49">
        <v>30000.0</v>
      </c>
      <c r="Z6" s="49">
        <v>40000.0</v>
      </c>
      <c r="AA6" s="49">
        <v>40000.0</v>
      </c>
      <c r="AB6" s="49">
        <v>40000.0</v>
      </c>
      <c r="AG6" s="49"/>
    </row>
    <row r="7">
      <c r="B7" s="30" t="s">
        <v>363</v>
      </c>
      <c r="C7" s="34">
        <f t="shared" ref="C7:N7" si="4">C21</f>
        <v>27350</v>
      </c>
      <c r="D7" s="34">
        <f t="shared" si="4"/>
        <v>27350</v>
      </c>
      <c r="E7" s="34">
        <f t="shared" si="4"/>
        <v>33350</v>
      </c>
      <c r="F7" s="34">
        <f t="shared" si="4"/>
        <v>34350</v>
      </c>
      <c r="G7" s="34">
        <f t="shared" si="4"/>
        <v>34350</v>
      </c>
      <c r="H7" s="34">
        <f t="shared" si="4"/>
        <v>34350</v>
      </c>
      <c r="I7" s="34">
        <f t="shared" si="4"/>
        <v>34850</v>
      </c>
      <c r="J7" s="34">
        <f t="shared" si="4"/>
        <v>37850</v>
      </c>
      <c r="K7" s="34">
        <f t="shared" si="4"/>
        <v>40850</v>
      </c>
      <c r="L7" s="34">
        <f t="shared" si="4"/>
        <v>43850</v>
      </c>
      <c r="M7" s="34">
        <f t="shared" si="4"/>
        <v>43850</v>
      </c>
      <c r="N7" s="34">
        <f t="shared" si="4"/>
        <v>46850</v>
      </c>
      <c r="P7" s="12" t="s">
        <v>364</v>
      </c>
      <c r="Q7" s="49">
        <f t="shared" ref="Q7:AB7" si="5">Q5+Q6</f>
        <v>215000</v>
      </c>
      <c r="R7" s="49">
        <f t="shared" si="5"/>
        <v>215000</v>
      </c>
      <c r="S7" s="49">
        <f t="shared" si="5"/>
        <v>215000</v>
      </c>
      <c r="T7" s="49">
        <f t="shared" si="5"/>
        <v>240000</v>
      </c>
      <c r="U7" s="49">
        <f t="shared" si="5"/>
        <v>240000</v>
      </c>
      <c r="V7" s="49">
        <f t="shared" si="5"/>
        <v>240000</v>
      </c>
      <c r="W7" s="49">
        <f t="shared" si="5"/>
        <v>270000</v>
      </c>
      <c r="X7" s="49">
        <f t="shared" si="5"/>
        <v>270000</v>
      </c>
      <c r="Y7" s="49">
        <f t="shared" si="5"/>
        <v>270000</v>
      </c>
      <c r="Z7" s="49">
        <f t="shared" si="5"/>
        <v>300000</v>
      </c>
      <c r="AA7" s="49">
        <f t="shared" si="5"/>
        <v>300000</v>
      </c>
      <c r="AB7" s="49">
        <f t="shared" si="5"/>
        <v>300000</v>
      </c>
    </row>
    <row r="8">
      <c r="B8" s="30" t="s">
        <v>365</v>
      </c>
      <c r="C8" s="34">
        <f t="shared" ref="C8:N8" si="6">C43</f>
        <v>28400</v>
      </c>
      <c r="D8" s="34">
        <f t="shared" si="6"/>
        <v>31800</v>
      </c>
      <c r="E8" s="34">
        <f t="shared" si="6"/>
        <v>31800</v>
      </c>
      <c r="F8" s="34">
        <f t="shared" si="6"/>
        <v>35400</v>
      </c>
      <c r="G8" s="34">
        <f t="shared" si="6"/>
        <v>35400</v>
      </c>
      <c r="H8" s="34">
        <f t="shared" si="6"/>
        <v>35400</v>
      </c>
      <c r="I8" s="34">
        <f t="shared" si="6"/>
        <v>35400</v>
      </c>
      <c r="J8" s="34">
        <f t="shared" si="6"/>
        <v>35400</v>
      </c>
      <c r="K8" s="34">
        <f t="shared" si="6"/>
        <v>35400</v>
      </c>
      <c r="L8" s="34">
        <f t="shared" si="6"/>
        <v>35400</v>
      </c>
      <c r="M8" s="34">
        <f t="shared" si="6"/>
        <v>35400</v>
      </c>
      <c r="N8" s="34">
        <f t="shared" si="6"/>
        <v>35400</v>
      </c>
      <c r="P8" s="30" t="s">
        <v>366</v>
      </c>
      <c r="Q8" s="33">
        <v>0.3</v>
      </c>
      <c r="R8" s="33">
        <v>0.3</v>
      </c>
      <c r="S8" s="33">
        <v>0.3</v>
      </c>
      <c r="T8" s="33">
        <v>0.3</v>
      </c>
      <c r="U8" s="33">
        <v>0.3</v>
      </c>
      <c r="V8" s="33">
        <v>0.3</v>
      </c>
      <c r="W8" s="33">
        <v>0.3</v>
      </c>
      <c r="X8" s="33">
        <v>0.3</v>
      </c>
      <c r="Y8" s="33">
        <v>0.3</v>
      </c>
      <c r="Z8" s="33">
        <v>0.3</v>
      </c>
      <c r="AA8" s="33">
        <v>0.3</v>
      </c>
      <c r="AB8" s="33">
        <v>0.3</v>
      </c>
    </row>
    <row r="9">
      <c r="B9" s="30" t="s">
        <v>367</v>
      </c>
      <c r="C9" s="35">
        <f t="shared" ref="C9:N9" si="7">C65</f>
        <v>20000</v>
      </c>
      <c r="D9" s="35">
        <f t="shared" si="7"/>
        <v>20000</v>
      </c>
      <c r="E9" s="35">
        <f t="shared" si="7"/>
        <v>20000</v>
      </c>
      <c r="F9" s="35">
        <f t="shared" si="7"/>
        <v>21000</v>
      </c>
      <c r="G9" s="35">
        <f t="shared" si="7"/>
        <v>21000</v>
      </c>
      <c r="H9" s="35">
        <f t="shared" si="7"/>
        <v>21000</v>
      </c>
      <c r="I9" s="35">
        <f t="shared" si="7"/>
        <v>22000</v>
      </c>
      <c r="J9" s="35">
        <f t="shared" si="7"/>
        <v>22000</v>
      </c>
      <c r="K9" s="35">
        <f t="shared" si="7"/>
        <v>22000</v>
      </c>
      <c r="L9" s="35">
        <f t="shared" si="7"/>
        <v>22000</v>
      </c>
      <c r="M9" s="35">
        <f t="shared" si="7"/>
        <v>22000</v>
      </c>
      <c r="N9" s="35">
        <f t="shared" si="7"/>
        <v>22000</v>
      </c>
      <c r="P9" s="30" t="s">
        <v>201</v>
      </c>
      <c r="Q9" s="35">
        <f t="shared" ref="Q9:AB9" si="8">Q7*Q8</f>
        <v>64500</v>
      </c>
      <c r="R9" s="35">
        <f t="shared" si="8"/>
        <v>64500</v>
      </c>
      <c r="S9" s="35">
        <f t="shared" si="8"/>
        <v>64500</v>
      </c>
      <c r="T9" s="35">
        <f t="shared" si="8"/>
        <v>72000</v>
      </c>
      <c r="U9" s="35">
        <f t="shared" si="8"/>
        <v>72000</v>
      </c>
      <c r="V9" s="35">
        <f t="shared" si="8"/>
        <v>72000</v>
      </c>
      <c r="W9" s="35">
        <f t="shared" si="8"/>
        <v>81000</v>
      </c>
      <c r="X9" s="35">
        <f t="shared" si="8"/>
        <v>81000</v>
      </c>
      <c r="Y9" s="35">
        <f t="shared" si="8"/>
        <v>81000</v>
      </c>
      <c r="Z9" s="35">
        <f t="shared" si="8"/>
        <v>90000</v>
      </c>
      <c r="AA9" s="35">
        <f t="shared" si="8"/>
        <v>90000</v>
      </c>
      <c r="AB9" s="35">
        <f t="shared" si="8"/>
        <v>90000</v>
      </c>
    </row>
    <row r="10">
      <c r="B10" s="30" t="s">
        <v>368</v>
      </c>
      <c r="C10" s="34">
        <f t="shared" ref="C10:N10" si="9">(Q7*0.125)+(Q38*0.1)+(50*Q72)</f>
        <v>63745.70948</v>
      </c>
      <c r="D10" s="34">
        <f t="shared" si="9"/>
        <v>63745.70948</v>
      </c>
      <c r="E10" s="34">
        <f t="shared" si="9"/>
        <v>63745.70948</v>
      </c>
      <c r="F10" s="34">
        <f t="shared" si="9"/>
        <v>73823.77416</v>
      </c>
      <c r="G10" s="34">
        <f t="shared" si="9"/>
        <v>73823.77416</v>
      </c>
      <c r="H10" s="34">
        <f t="shared" si="9"/>
        <v>73823.77416</v>
      </c>
      <c r="I10" s="34">
        <f t="shared" si="9"/>
        <v>84675.17534</v>
      </c>
      <c r="J10" s="34">
        <f t="shared" si="9"/>
        <v>84675.17534</v>
      </c>
      <c r="K10" s="34">
        <f t="shared" si="9"/>
        <v>84675.17534</v>
      </c>
      <c r="L10" s="34">
        <f t="shared" si="9"/>
        <v>95526.57653</v>
      </c>
      <c r="M10" s="34">
        <f t="shared" si="9"/>
        <v>95526.57653</v>
      </c>
      <c r="N10" s="34">
        <f t="shared" si="9"/>
        <v>95526.57653</v>
      </c>
      <c r="P10" s="30" t="s">
        <v>369</v>
      </c>
      <c r="Q10" s="34">
        <v>3000.0</v>
      </c>
      <c r="R10" s="34">
        <v>3000.0</v>
      </c>
      <c r="S10" s="34">
        <v>3000.0</v>
      </c>
      <c r="T10" s="34">
        <v>3000.0</v>
      </c>
      <c r="U10" s="34">
        <v>3000.0</v>
      </c>
      <c r="V10" s="34">
        <v>3000.0</v>
      </c>
      <c r="W10" s="34">
        <v>3000.0</v>
      </c>
      <c r="X10" s="34">
        <v>3000.0</v>
      </c>
      <c r="Y10" s="34">
        <v>3000.0</v>
      </c>
      <c r="Z10" s="34">
        <v>3000.0</v>
      </c>
      <c r="AA10" s="34">
        <v>3000.0</v>
      </c>
      <c r="AB10" s="34">
        <v>3000.0</v>
      </c>
    </row>
    <row r="11">
      <c r="B11" s="30" t="s">
        <v>370</v>
      </c>
      <c r="C11" s="34">
        <f t="shared" ref="C11:N11" si="10">C76</f>
        <v>23000</v>
      </c>
      <c r="D11" s="34">
        <f t="shared" si="10"/>
        <v>23000</v>
      </c>
      <c r="E11" s="34">
        <f t="shared" si="10"/>
        <v>23000</v>
      </c>
      <c r="F11" s="34">
        <f t="shared" si="10"/>
        <v>33000</v>
      </c>
      <c r="G11" s="34">
        <f t="shared" si="10"/>
        <v>33000</v>
      </c>
      <c r="H11" s="34">
        <f t="shared" si="10"/>
        <v>33000</v>
      </c>
      <c r="I11" s="34">
        <f t="shared" si="10"/>
        <v>37000</v>
      </c>
      <c r="J11" s="34">
        <f t="shared" si="10"/>
        <v>37000</v>
      </c>
      <c r="K11" s="34">
        <f t="shared" si="10"/>
        <v>37000</v>
      </c>
      <c r="L11" s="34">
        <f t="shared" si="10"/>
        <v>39000</v>
      </c>
      <c r="M11" s="34">
        <f t="shared" si="10"/>
        <v>39000</v>
      </c>
      <c r="N11" s="34">
        <f t="shared" si="10"/>
        <v>39000</v>
      </c>
      <c r="P11" s="30" t="s">
        <v>202</v>
      </c>
      <c r="Q11" s="45">
        <f t="shared" ref="Q11:AB11" si="11">Q9/Q10</f>
        <v>21.5</v>
      </c>
      <c r="R11" s="45">
        <f t="shared" si="11"/>
        <v>21.5</v>
      </c>
      <c r="S11" s="45">
        <f t="shared" si="11"/>
        <v>21.5</v>
      </c>
      <c r="T11" s="45">
        <f t="shared" si="11"/>
        <v>24</v>
      </c>
      <c r="U11" s="45">
        <f t="shared" si="11"/>
        <v>24</v>
      </c>
      <c r="V11" s="45">
        <f t="shared" si="11"/>
        <v>24</v>
      </c>
      <c r="W11" s="45">
        <f t="shared" si="11"/>
        <v>27</v>
      </c>
      <c r="X11" s="45">
        <f t="shared" si="11"/>
        <v>27</v>
      </c>
      <c r="Y11" s="45">
        <f t="shared" si="11"/>
        <v>27</v>
      </c>
      <c r="Z11" s="45">
        <f t="shared" si="11"/>
        <v>30</v>
      </c>
      <c r="AA11" s="45">
        <f t="shared" si="11"/>
        <v>30</v>
      </c>
      <c r="AB11" s="45">
        <f t="shared" si="11"/>
        <v>30</v>
      </c>
    </row>
    <row r="12">
      <c r="B12" s="52" t="s">
        <v>371</v>
      </c>
      <c r="C12" s="109">
        <v>80000.0</v>
      </c>
      <c r="D12" s="62">
        <v>100000.0</v>
      </c>
      <c r="E12" s="62">
        <v>100000.0</v>
      </c>
      <c r="F12" s="109">
        <v>110000.0</v>
      </c>
      <c r="G12" s="109">
        <v>110000.0</v>
      </c>
      <c r="H12" s="109">
        <v>110000.0</v>
      </c>
      <c r="I12" s="109">
        <v>120000.0</v>
      </c>
      <c r="J12" s="109">
        <v>120000.0</v>
      </c>
      <c r="K12" s="109">
        <v>120000.0</v>
      </c>
      <c r="L12" s="109">
        <v>130000.0</v>
      </c>
      <c r="M12" s="109">
        <v>130000.0</v>
      </c>
      <c r="N12" s="109">
        <v>130000.0</v>
      </c>
    </row>
    <row r="13">
      <c r="B13" s="110" t="s">
        <v>372</v>
      </c>
      <c r="C13" s="111">
        <v>5000.0</v>
      </c>
      <c r="D13" s="111">
        <v>5000.0</v>
      </c>
      <c r="E13" s="111">
        <v>25000.0</v>
      </c>
      <c r="F13" s="111">
        <v>15000.0</v>
      </c>
      <c r="G13" s="111">
        <v>100000.0</v>
      </c>
      <c r="H13" s="111">
        <v>40000.0</v>
      </c>
      <c r="I13" s="111">
        <v>100000.0</v>
      </c>
      <c r="J13" s="111">
        <v>15000.0</v>
      </c>
      <c r="K13" s="111">
        <v>25000.0</v>
      </c>
      <c r="L13" s="111">
        <v>20000.0</v>
      </c>
      <c r="M13" s="111">
        <v>5000.0</v>
      </c>
      <c r="N13" s="111">
        <v>25000.0</v>
      </c>
      <c r="P13" s="30" t="s">
        <v>373</v>
      </c>
      <c r="Q13" s="33">
        <v>0.25</v>
      </c>
      <c r="R13" s="33">
        <v>0.25</v>
      </c>
      <c r="S13" s="33">
        <v>0.25</v>
      </c>
      <c r="T13" s="33">
        <v>0.25</v>
      </c>
      <c r="U13" s="33">
        <v>0.25</v>
      </c>
      <c r="V13" s="33">
        <v>0.25</v>
      </c>
      <c r="W13" s="33">
        <v>0.25</v>
      </c>
      <c r="X13" s="33">
        <v>0.25</v>
      </c>
      <c r="Y13" s="33">
        <v>0.25</v>
      </c>
      <c r="Z13" s="33">
        <v>0.25</v>
      </c>
      <c r="AA13" s="33">
        <v>0.25</v>
      </c>
      <c r="AB13" s="33">
        <v>0.25</v>
      </c>
    </row>
    <row r="14">
      <c r="B14" s="110" t="s">
        <v>374</v>
      </c>
      <c r="C14" s="111">
        <v>10000.0</v>
      </c>
      <c r="D14" s="111">
        <v>10000.0</v>
      </c>
      <c r="E14" s="111">
        <v>10000.0</v>
      </c>
      <c r="F14" s="111">
        <v>10000.0</v>
      </c>
      <c r="G14" s="111">
        <v>10000.0</v>
      </c>
      <c r="H14" s="111">
        <v>10000.0</v>
      </c>
      <c r="I14" s="111">
        <v>15000.0</v>
      </c>
      <c r="J14" s="111">
        <v>15000.0</v>
      </c>
      <c r="K14" s="111">
        <v>15000.0</v>
      </c>
      <c r="L14" s="111">
        <v>30000.0</v>
      </c>
      <c r="M14" s="111">
        <v>30000.0</v>
      </c>
      <c r="N14" s="111">
        <v>30000.0</v>
      </c>
      <c r="P14" s="30" t="s">
        <v>243</v>
      </c>
      <c r="Q14" s="34">
        <f t="shared" ref="Q14:AB14" si="12">Q7*Q13</f>
        <v>53750</v>
      </c>
      <c r="R14" s="34">
        <f t="shared" si="12"/>
        <v>53750</v>
      </c>
      <c r="S14" s="34">
        <f t="shared" si="12"/>
        <v>53750</v>
      </c>
      <c r="T14" s="34">
        <f t="shared" si="12"/>
        <v>60000</v>
      </c>
      <c r="U14" s="34">
        <f t="shared" si="12"/>
        <v>60000</v>
      </c>
      <c r="V14" s="34">
        <f t="shared" si="12"/>
        <v>60000</v>
      </c>
      <c r="W14" s="34">
        <f t="shared" si="12"/>
        <v>67500</v>
      </c>
      <c r="X14" s="34">
        <f t="shared" si="12"/>
        <v>67500</v>
      </c>
      <c r="Y14" s="34">
        <f t="shared" si="12"/>
        <v>67500</v>
      </c>
      <c r="Z14" s="34">
        <f t="shared" si="12"/>
        <v>75000</v>
      </c>
      <c r="AA14" s="34">
        <f t="shared" si="12"/>
        <v>75000</v>
      </c>
      <c r="AB14" s="34">
        <f t="shared" si="12"/>
        <v>75000</v>
      </c>
    </row>
    <row r="15">
      <c r="B15" s="30" t="s">
        <v>375</v>
      </c>
      <c r="C15" s="34">
        <v>5000.0</v>
      </c>
      <c r="D15" s="34">
        <v>5000.0</v>
      </c>
      <c r="E15" s="34">
        <v>5000.0</v>
      </c>
      <c r="F15" s="34">
        <v>5000.0</v>
      </c>
      <c r="G15" s="34">
        <v>5000.0</v>
      </c>
      <c r="H15" s="34">
        <v>5000.0</v>
      </c>
      <c r="I15" s="34">
        <v>5000.0</v>
      </c>
      <c r="J15" s="34">
        <v>5000.0</v>
      </c>
      <c r="K15" s="34">
        <v>5000.0</v>
      </c>
      <c r="L15" s="34">
        <v>5000.0</v>
      </c>
      <c r="M15" s="34">
        <v>5000.0</v>
      </c>
      <c r="N15" s="34">
        <v>5000.0</v>
      </c>
      <c r="P15" s="30" t="s">
        <v>376</v>
      </c>
      <c r="Q15" s="34">
        <v>5000.0</v>
      </c>
      <c r="R15" s="34">
        <v>5000.0</v>
      </c>
      <c r="S15" s="34">
        <v>5000.0</v>
      </c>
      <c r="T15" s="34">
        <v>5000.0</v>
      </c>
      <c r="U15" s="34">
        <v>5000.0</v>
      </c>
      <c r="V15" s="34">
        <v>5000.0</v>
      </c>
      <c r="W15" s="34">
        <v>5000.0</v>
      </c>
      <c r="X15" s="34">
        <v>5000.0</v>
      </c>
      <c r="Y15" s="34">
        <v>5000.0</v>
      </c>
      <c r="Z15" s="34">
        <v>5000.0</v>
      </c>
      <c r="AA15" s="34">
        <v>5000.0</v>
      </c>
      <c r="AB15" s="34">
        <v>5000.0</v>
      </c>
    </row>
    <row r="16">
      <c r="B16" s="11"/>
      <c r="C16" s="25">
        <f t="shared" ref="C16:N16" si="13">C6/Q1</f>
        <v>2452.328328</v>
      </c>
      <c r="D16" s="25">
        <f t="shared" si="13"/>
        <v>2670.939455</v>
      </c>
      <c r="E16" s="25">
        <f t="shared" si="13"/>
        <v>2913.840707</v>
      </c>
      <c r="F16" s="25">
        <f t="shared" si="13"/>
        <v>2743.083568</v>
      </c>
      <c r="G16" s="25">
        <f t="shared" si="13"/>
        <v>3433.783264</v>
      </c>
      <c r="H16" s="25">
        <f t="shared" si="13"/>
        <v>2946.230537</v>
      </c>
      <c r="I16" s="25">
        <f t="shared" si="13"/>
        <v>3227.903091</v>
      </c>
      <c r="J16" s="25">
        <f t="shared" si="13"/>
        <v>2644.793654</v>
      </c>
      <c r="K16" s="25">
        <f t="shared" si="13"/>
        <v>2737.237833</v>
      </c>
      <c r="L16" s="25">
        <f t="shared" si="13"/>
        <v>2659.991395</v>
      </c>
      <c r="M16" s="25">
        <f t="shared" si="13"/>
        <v>2565.167032</v>
      </c>
      <c r="N16" s="25">
        <f t="shared" si="13"/>
        <v>2710.564389</v>
      </c>
      <c r="P16" s="30" t="s">
        <v>244</v>
      </c>
      <c r="Q16" s="45">
        <f t="shared" ref="Q16:AB16" si="14">Q14/Q15</f>
        <v>10.75</v>
      </c>
      <c r="R16" s="45">
        <f t="shared" si="14"/>
        <v>10.75</v>
      </c>
      <c r="S16" s="45">
        <f t="shared" si="14"/>
        <v>10.75</v>
      </c>
      <c r="T16" s="45">
        <f t="shared" si="14"/>
        <v>12</v>
      </c>
      <c r="U16" s="45">
        <f t="shared" si="14"/>
        <v>12</v>
      </c>
      <c r="V16" s="45">
        <f t="shared" si="14"/>
        <v>12</v>
      </c>
      <c r="W16" s="45">
        <f t="shared" si="14"/>
        <v>13.5</v>
      </c>
      <c r="X16" s="45">
        <f t="shared" si="14"/>
        <v>13.5</v>
      </c>
      <c r="Y16" s="45">
        <f t="shared" si="14"/>
        <v>13.5</v>
      </c>
      <c r="Z16" s="45">
        <f t="shared" si="14"/>
        <v>15</v>
      </c>
      <c r="AA16" s="45">
        <f t="shared" si="14"/>
        <v>15</v>
      </c>
      <c r="AB16" s="45">
        <f t="shared" si="14"/>
        <v>15</v>
      </c>
    </row>
    <row r="17">
      <c r="B17" s="11"/>
      <c r="C17" s="11">
        <v>100.0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B18" s="59" t="s">
        <v>377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P18" s="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>
      <c r="B19" s="30" t="s">
        <v>76</v>
      </c>
      <c r="C19" s="29" t="s">
        <v>77</v>
      </c>
      <c r="D19" s="7"/>
      <c r="E19" s="8"/>
      <c r="F19" s="29" t="s">
        <v>78</v>
      </c>
      <c r="G19" s="7"/>
      <c r="H19" s="8"/>
      <c r="I19" s="29" t="s">
        <v>79</v>
      </c>
      <c r="J19" s="7"/>
      <c r="K19" s="8"/>
      <c r="L19" s="29" t="s">
        <v>80</v>
      </c>
      <c r="M19" s="7"/>
      <c r="N19" s="8"/>
      <c r="P19" s="30" t="s">
        <v>378</v>
      </c>
      <c r="Q19" s="33">
        <v>0.2</v>
      </c>
      <c r="R19" s="33">
        <v>0.2</v>
      </c>
      <c r="S19" s="33">
        <v>0.2</v>
      </c>
      <c r="T19" s="33">
        <v>0.2</v>
      </c>
      <c r="U19" s="33">
        <v>0.2</v>
      </c>
      <c r="V19" s="33">
        <v>0.2</v>
      </c>
      <c r="W19" s="33">
        <v>0.2</v>
      </c>
      <c r="X19" s="33">
        <v>0.2</v>
      </c>
      <c r="Y19" s="33">
        <v>0.2</v>
      </c>
      <c r="Z19" s="33">
        <v>0.2</v>
      </c>
      <c r="AA19" s="33">
        <v>0.2</v>
      </c>
      <c r="AB19" s="33">
        <v>0.2</v>
      </c>
    </row>
    <row r="20">
      <c r="B20" s="30" t="s">
        <v>141</v>
      </c>
      <c r="C20" s="13" t="s">
        <v>81</v>
      </c>
      <c r="D20" s="13" t="s">
        <v>82</v>
      </c>
      <c r="E20" s="13" t="s">
        <v>83</v>
      </c>
      <c r="F20" s="13" t="s">
        <v>84</v>
      </c>
      <c r="G20" s="13" t="s">
        <v>85</v>
      </c>
      <c r="H20" s="13" t="s">
        <v>86</v>
      </c>
      <c r="I20" s="13" t="s">
        <v>87</v>
      </c>
      <c r="J20" s="13" t="s">
        <v>88</v>
      </c>
      <c r="K20" s="13" t="s">
        <v>89</v>
      </c>
      <c r="L20" s="13" t="s">
        <v>90</v>
      </c>
      <c r="M20" s="13" t="s">
        <v>91</v>
      </c>
      <c r="N20" s="13" t="s">
        <v>92</v>
      </c>
      <c r="P20" s="30" t="s">
        <v>261</v>
      </c>
      <c r="Q20" s="67">
        <f t="shared" ref="Q20:AB20" si="15">Q7*Q19</f>
        <v>43000</v>
      </c>
      <c r="R20" s="67">
        <f t="shared" si="15"/>
        <v>43000</v>
      </c>
      <c r="S20" s="67">
        <f t="shared" si="15"/>
        <v>43000</v>
      </c>
      <c r="T20" s="67">
        <f t="shared" si="15"/>
        <v>48000</v>
      </c>
      <c r="U20" s="67">
        <f t="shared" si="15"/>
        <v>48000</v>
      </c>
      <c r="V20" s="67">
        <f t="shared" si="15"/>
        <v>48000</v>
      </c>
      <c r="W20" s="67">
        <f t="shared" si="15"/>
        <v>54000</v>
      </c>
      <c r="X20" s="67">
        <f t="shared" si="15"/>
        <v>54000</v>
      </c>
      <c r="Y20" s="67">
        <f t="shared" si="15"/>
        <v>54000</v>
      </c>
      <c r="Z20" s="67">
        <f t="shared" si="15"/>
        <v>60000</v>
      </c>
      <c r="AA20" s="67">
        <f t="shared" si="15"/>
        <v>60000</v>
      </c>
      <c r="AB20" s="67">
        <f t="shared" si="15"/>
        <v>60000</v>
      </c>
    </row>
    <row r="21">
      <c r="B21" s="30" t="s">
        <v>379</v>
      </c>
      <c r="C21" s="34">
        <f t="shared" ref="C21:N21" si="16">SUM(C22:C38)</f>
        <v>27350</v>
      </c>
      <c r="D21" s="34">
        <f t="shared" si="16"/>
        <v>27350</v>
      </c>
      <c r="E21" s="34">
        <f t="shared" si="16"/>
        <v>33350</v>
      </c>
      <c r="F21" s="34">
        <f t="shared" si="16"/>
        <v>34350</v>
      </c>
      <c r="G21" s="34">
        <f t="shared" si="16"/>
        <v>34350</v>
      </c>
      <c r="H21" s="34">
        <f t="shared" si="16"/>
        <v>34350</v>
      </c>
      <c r="I21" s="34">
        <f t="shared" si="16"/>
        <v>34850</v>
      </c>
      <c r="J21" s="34">
        <f t="shared" si="16"/>
        <v>37850</v>
      </c>
      <c r="K21" s="34">
        <f t="shared" si="16"/>
        <v>40850</v>
      </c>
      <c r="L21" s="34">
        <f t="shared" si="16"/>
        <v>43850</v>
      </c>
      <c r="M21" s="34">
        <f t="shared" si="16"/>
        <v>43850</v>
      </c>
      <c r="N21" s="34">
        <f t="shared" si="16"/>
        <v>46850</v>
      </c>
      <c r="P21" s="30" t="s">
        <v>380</v>
      </c>
      <c r="Q21" s="34">
        <v>2300.0</v>
      </c>
      <c r="R21" s="34">
        <v>2300.0</v>
      </c>
      <c r="S21" s="34">
        <v>2300.0</v>
      </c>
      <c r="T21" s="34">
        <v>2300.0</v>
      </c>
      <c r="U21" s="34">
        <v>2300.0</v>
      </c>
      <c r="V21" s="34">
        <v>2300.0</v>
      </c>
      <c r="W21" s="34">
        <v>2300.0</v>
      </c>
      <c r="X21" s="34">
        <v>2300.0</v>
      </c>
      <c r="Y21" s="34">
        <v>2300.0</v>
      </c>
      <c r="Z21" s="34">
        <v>2300.0</v>
      </c>
      <c r="AA21" s="34">
        <v>2300.0</v>
      </c>
      <c r="AB21" s="34">
        <v>2300.0</v>
      </c>
    </row>
    <row r="22">
      <c r="B22" s="112" t="s">
        <v>381</v>
      </c>
      <c r="C22" s="61">
        <v>3850.0</v>
      </c>
      <c r="D22" s="61">
        <v>3850.0</v>
      </c>
      <c r="E22" s="61">
        <v>3850.0</v>
      </c>
      <c r="F22" s="61">
        <v>3850.0</v>
      </c>
      <c r="G22" s="61">
        <v>3850.0</v>
      </c>
      <c r="H22" s="61">
        <v>3850.0</v>
      </c>
      <c r="I22" s="61">
        <v>3850.0</v>
      </c>
      <c r="J22" s="61">
        <v>3850.0</v>
      </c>
      <c r="K22" s="61">
        <v>3850.0</v>
      </c>
      <c r="L22" s="61">
        <v>3850.0</v>
      </c>
      <c r="M22" s="61">
        <v>3850.0</v>
      </c>
      <c r="N22" s="61">
        <v>3850.0</v>
      </c>
      <c r="P22" s="30" t="s">
        <v>262</v>
      </c>
      <c r="Q22" s="44">
        <f t="shared" ref="Q22:AB22" si="17">Q20/Q21</f>
        <v>18.69565217</v>
      </c>
      <c r="R22" s="44">
        <f t="shared" si="17"/>
        <v>18.69565217</v>
      </c>
      <c r="S22" s="44">
        <f t="shared" si="17"/>
        <v>18.69565217</v>
      </c>
      <c r="T22" s="44">
        <f t="shared" si="17"/>
        <v>20.86956522</v>
      </c>
      <c r="U22" s="44">
        <f t="shared" si="17"/>
        <v>20.86956522</v>
      </c>
      <c r="V22" s="44">
        <f t="shared" si="17"/>
        <v>20.86956522</v>
      </c>
      <c r="W22" s="44">
        <f t="shared" si="17"/>
        <v>23.47826087</v>
      </c>
      <c r="X22" s="44">
        <f t="shared" si="17"/>
        <v>23.47826087</v>
      </c>
      <c r="Y22" s="44">
        <f t="shared" si="17"/>
        <v>23.47826087</v>
      </c>
      <c r="Z22" s="44">
        <f t="shared" si="17"/>
        <v>26.08695652</v>
      </c>
      <c r="AA22" s="44">
        <f t="shared" si="17"/>
        <v>26.08695652</v>
      </c>
      <c r="AB22" s="44">
        <f t="shared" si="17"/>
        <v>26.08695652</v>
      </c>
    </row>
    <row r="23">
      <c r="B23" s="112" t="s">
        <v>382</v>
      </c>
      <c r="C23" s="61">
        <v>3000.0</v>
      </c>
      <c r="D23" s="61">
        <v>3000.0</v>
      </c>
      <c r="E23" s="61">
        <v>3000.0</v>
      </c>
      <c r="F23" s="61">
        <v>3000.0</v>
      </c>
      <c r="G23" s="61">
        <v>3000.0</v>
      </c>
      <c r="H23" s="61">
        <v>3000.0</v>
      </c>
      <c r="I23" s="61">
        <v>3000.0</v>
      </c>
      <c r="J23" s="61">
        <v>3000.0</v>
      </c>
      <c r="K23" s="61">
        <v>3000.0</v>
      </c>
      <c r="L23" s="61">
        <v>3000.0</v>
      </c>
      <c r="M23" s="61">
        <v>3000.0</v>
      </c>
      <c r="N23" s="61">
        <v>3000.0</v>
      </c>
    </row>
    <row r="24">
      <c r="B24" s="112" t="s">
        <v>383</v>
      </c>
      <c r="C24" s="61">
        <v>3000.0</v>
      </c>
      <c r="D24" s="61">
        <v>3000.0</v>
      </c>
      <c r="E24" s="61">
        <v>3000.0</v>
      </c>
      <c r="F24" s="61">
        <v>3500.0</v>
      </c>
      <c r="G24" s="61">
        <v>3500.0</v>
      </c>
      <c r="H24" s="61">
        <v>3500.0</v>
      </c>
      <c r="I24" s="61">
        <v>3500.0</v>
      </c>
      <c r="J24" s="61">
        <v>3500.0</v>
      </c>
      <c r="K24" s="61">
        <v>3500.0</v>
      </c>
      <c r="L24" s="61">
        <v>3500.0</v>
      </c>
      <c r="M24" s="61">
        <v>3500.0</v>
      </c>
      <c r="N24" s="61">
        <v>3500.0</v>
      </c>
      <c r="P24" s="30" t="s">
        <v>384</v>
      </c>
      <c r="Q24" s="33">
        <v>0.15</v>
      </c>
      <c r="R24" s="33">
        <v>0.15</v>
      </c>
      <c r="S24" s="33">
        <v>0.15</v>
      </c>
      <c r="T24" s="33">
        <v>0.15</v>
      </c>
      <c r="U24" s="33">
        <v>0.15</v>
      </c>
      <c r="V24" s="33">
        <v>0.15</v>
      </c>
      <c r="W24" s="33">
        <v>0.15</v>
      </c>
      <c r="X24" s="33">
        <v>0.15</v>
      </c>
      <c r="Y24" s="33">
        <v>0.15</v>
      </c>
      <c r="Z24" s="33">
        <v>0.15</v>
      </c>
      <c r="AA24" s="33">
        <v>0.15</v>
      </c>
      <c r="AB24" s="33">
        <v>0.15</v>
      </c>
    </row>
    <row r="25">
      <c r="B25" s="112" t="s">
        <v>385</v>
      </c>
      <c r="C25" s="61">
        <v>3000.0</v>
      </c>
      <c r="D25" s="61">
        <v>3000.0</v>
      </c>
      <c r="E25" s="61">
        <v>3000.0</v>
      </c>
      <c r="F25" s="61">
        <v>3000.0</v>
      </c>
      <c r="G25" s="61">
        <v>3000.0</v>
      </c>
      <c r="H25" s="61">
        <v>3000.0</v>
      </c>
      <c r="I25" s="61">
        <v>3000.0</v>
      </c>
      <c r="J25" s="61">
        <v>3000.0</v>
      </c>
      <c r="K25" s="61">
        <v>3000.0</v>
      </c>
      <c r="L25" s="61">
        <v>3000.0</v>
      </c>
      <c r="M25" s="61">
        <v>3000.0</v>
      </c>
      <c r="N25" s="61">
        <v>3000.0</v>
      </c>
      <c r="P25" s="30" t="s">
        <v>280</v>
      </c>
      <c r="Q25" s="67">
        <f t="shared" ref="Q25:AB25" si="18">Q7*Q24</f>
        <v>32250</v>
      </c>
      <c r="R25" s="67">
        <f t="shared" si="18"/>
        <v>32250</v>
      </c>
      <c r="S25" s="67">
        <f t="shared" si="18"/>
        <v>32250</v>
      </c>
      <c r="T25" s="67">
        <f t="shared" si="18"/>
        <v>36000</v>
      </c>
      <c r="U25" s="67">
        <f t="shared" si="18"/>
        <v>36000</v>
      </c>
      <c r="V25" s="67">
        <f t="shared" si="18"/>
        <v>36000</v>
      </c>
      <c r="W25" s="67">
        <f t="shared" si="18"/>
        <v>40500</v>
      </c>
      <c r="X25" s="67">
        <f t="shared" si="18"/>
        <v>40500</v>
      </c>
      <c r="Y25" s="67">
        <f t="shared" si="18"/>
        <v>40500</v>
      </c>
      <c r="Z25" s="67">
        <f t="shared" si="18"/>
        <v>45000</v>
      </c>
      <c r="AA25" s="67">
        <f t="shared" si="18"/>
        <v>45000</v>
      </c>
      <c r="AB25" s="67">
        <f t="shared" si="18"/>
        <v>45000</v>
      </c>
    </row>
    <row r="26">
      <c r="B26" s="112" t="s">
        <v>386</v>
      </c>
      <c r="C26" s="61">
        <v>3000.0</v>
      </c>
      <c r="D26" s="61">
        <v>3000.0</v>
      </c>
      <c r="E26" s="61">
        <v>3000.0</v>
      </c>
      <c r="F26" s="61">
        <v>3500.0</v>
      </c>
      <c r="G26" s="61">
        <v>3500.0</v>
      </c>
      <c r="H26" s="61">
        <v>3500.0</v>
      </c>
      <c r="I26" s="61">
        <v>3500.0</v>
      </c>
      <c r="J26" s="61">
        <v>3500.0</v>
      </c>
      <c r="K26" s="61">
        <v>3500.0</v>
      </c>
      <c r="L26" s="61">
        <v>3500.0</v>
      </c>
      <c r="M26" s="61">
        <v>3500.0</v>
      </c>
      <c r="N26" s="61">
        <v>3500.0</v>
      </c>
      <c r="P26" s="30" t="s">
        <v>387</v>
      </c>
      <c r="Q26" s="34">
        <v>10000.0</v>
      </c>
      <c r="R26" s="34">
        <v>10000.0</v>
      </c>
      <c r="S26" s="34">
        <v>10000.0</v>
      </c>
      <c r="T26" s="34">
        <v>10000.0</v>
      </c>
      <c r="U26" s="34">
        <v>10000.0</v>
      </c>
      <c r="V26" s="34">
        <v>10000.0</v>
      </c>
      <c r="W26" s="34">
        <v>10000.0</v>
      </c>
      <c r="X26" s="34">
        <v>10000.0</v>
      </c>
      <c r="Y26" s="34">
        <v>10000.0</v>
      </c>
      <c r="Z26" s="34">
        <v>10000.0</v>
      </c>
      <c r="AA26" s="34">
        <v>10000.0</v>
      </c>
      <c r="AB26" s="34">
        <v>10000.0</v>
      </c>
    </row>
    <row r="27">
      <c r="B27" s="112" t="s">
        <v>388</v>
      </c>
      <c r="C27" s="61">
        <v>3000.0</v>
      </c>
      <c r="D27" s="61">
        <v>3000.0</v>
      </c>
      <c r="E27" s="61">
        <v>3000.0</v>
      </c>
      <c r="F27" s="61">
        <v>3000.0</v>
      </c>
      <c r="G27" s="61">
        <v>3000.0</v>
      </c>
      <c r="H27" s="61">
        <v>3000.0</v>
      </c>
      <c r="I27" s="61">
        <v>3000.0</v>
      </c>
      <c r="J27" s="61">
        <v>3000.0</v>
      </c>
      <c r="K27" s="61">
        <v>3000.0</v>
      </c>
      <c r="L27" s="61">
        <v>3000.0</v>
      </c>
      <c r="M27" s="61">
        <v>3000.0</v>
      </c>
      <c r="N27" s="61">
        <v>3000.0</v>
      </c>
      <c r="P27" s="30" t="s">
        <v>281</v>
      </c>
      <c r="Q27" s="44">
        <f t="shared" ref="Q27:AB27" si="19">Q25/Q26</f>
        <v>3.225</v>
      </c>
      <c r="R27" s="44">
        <f t="shared" si="19"/>
        <v>3.225</v>
      </c>
      <c r="S27" s="44">
        <f t="shared" si="19"/>
        <v>3.225</v>
      </c>
      <c r="T27" s="44">
        <f t="shared" si="19"/>
        <v>3.6</v>
      </c>
      <c r="U27" s="44">
        <f t="shared" si="19"/>
        <v>3.6</v>
      </c>
      <c r="V27" s="44">
        <f t="shared" si="19"/>
        <v>3.6</v>
      </c>
      <c r="W27" s="44">
        <f t="shared" si="19"/>
        <v>4.05</v>
      </c>
      <c r="X27" s="44">
        <f t="shared" si="19"/>
        <v>4.05</v>
      </c>
      <c r="Y27" s="44">
        <f t="shared" si="19"/>
        <v>4.05</v>
      </c>
      <c r="Z27" s="44">
        <f t="shared" si="19"/>
        <v>4.5</v>
      </c>
      <c r="AA27" s="44">
        <f t="shared" si="19"/>
        <v>4.5</v>
      </c>
      <c r="AB27" s="44">
        <f t="shared" si="19"/>
        <v>4.5</v>
      </c>
    </row>
    <row r="28">
      <c r="B28" s="113" t="s">
        <v>389</v>
      </c>
      <c r="C28" s="61">
        <v>3000.0</v>
      </c>
      <c r="D28" s="61">
        <v>3000.0</v>
      </c>
      <c r="E28" s="61">
        <v>3000.0</v>
      </c>
      <c r="F28" s="61">
        <v>3000.0</v>
      </c>
      <c r="G28" s="61">
        <v>3000.0</v>
      </c>
      <c r="H28" s="61">
        <v>3000.0</v>
      </c>
      <c r="I28" s="61">
        <v>3500.0</v>
      </c>
      <c r="J28" s="61">
        <v>3500.0</v>
      </c>
      <c r="K28" s="61">
        <v>3500.0</v>
      </c>
      <c r="L28" s="61">
        <v>3500.0</v>
      </c>
      <c r="M28" s="61">
        <v>3500.0</v>
      </c>
      <c r="N28" s="61">
        <v>3500.0</v>
      </c>
    </row>
    <row r="29">
      <c r="B29" s="113" t="s">
        <v>390</v>
      </c>
      <c r="C29" s="63">
        <v>2500.0</v>
      </c>
      <c r="D29" s="63">
        <v>2500.0</v>
      </c>
      <c r="E29" s="63">
        <v>2500.0</v>
      </c>
      <c r="F29" s="63">
        <v>2500.0</v>
      </c>
      <c r="G29" s="63">
        <v>2500.0</v>
      </c>
      <c r="H29" s="63">
        <v>2500.0</v>
      </c>
      <c r="I29" s="63">
        <v>2500.0</v>
      </c>
      <c r="J29" s="63">
        <v>2500.0</v>
      </c>
      <c r="K29" s="63">
        <v>2500.0</v>
      </c>
      <c r="L29" s="63">
        <v>2500.0</v>
      </c>
      <c r="M29" s="63">
        <v>2500.0</v>
      </c>
      <c r="N29" s="63">
        <v>2500.0</v>
      </c>
      <c r="P29" s="30" t="s">
        <v>391</v>
      </c>
      <c r="Q29" s="33">
        <v>0.1</v>
      </c>
      <c r="R29" s="33">
        <v>0.1</v>
      </c>
      <c r="S29" s="33">
        <v>0.1</v>
      </c>
      <c r="T29" s="33">
        <v>0.1</v>
      </c>
      <c r="U29" s="33">
        <v>0.1</v>
      </c>
      <c r="V29" s="33">
        <v>0.1</v>
      </c>
      <c r="W29" s="33">
        <v>0.1</v>
      </c>
      <c r="X29" s="33">
        <v>0.1</v>
      </c>
      <c r="Y29" s="33">
        <v>0.1</v>
      </c>
      <c r="Z29" s="33">
        <v>0.1</v>
      </c>
      <c r="AA29" s="33">
        <v>0.1</v>
      </c>
      <c r="AB29" s="33">
        <v>0.1</v>
      </c>
    </row>
    <row r="30">
      <c r="B30" s="54" t="s">
        <v>168</v>
      </c>
      <c r="C30" s="61">
        <v>3000.0</v>
      </c>
      <c r="D30" s="61">
        <v>3000.0</v>
      </c>
      <c r="E30" s="61">
        <v>3000.0</v>
      </c>
      <c r="F30" s="61">
        <v>3000.0</v>
      </c>
      <c r="G30" s="61">
        <v>3000.0</v>
      </c>
      <c r="H30" s="61">
        <v>3000.0</v>
      </c>
      <c r="I30" s="61">
        <v>3000.0</v>
      </c>
      <c r="J30" s="61">
        <v>3000.0</v>
      </c>
      <c r="K30" s="61">
        <v>3000.0</v>
      </c>
      <c r="L30" s="61">
        <v>3000.0</v>
      </c>
      <c r="M30" s="61">
        <v>3000.0</v>
      </c>
      <c r="N30" s="61">
        <v>3000.0</v>
      </c>
      <c r="P30" s="30" t="s">
        <v>285</v>
      </c>
      <c r="Q30" s="34">
        <f t="shared" ref="Q30:AB30" si="20">Q7*Q29</f>
        <v>21500</v>
      </c>
      <c r="R30" s="34">
        <f t="shared" si="20"/>
        <v>21500</v>
      </c>
      <c r="S30" s="34">
        <f t="shared" si="20"/>
        <v>21500</v>
      </c>
      <c r="T30" s="34">
        <f t="shared" si="20"/>
        <v>24000</v>
      </c>
      <c r="U30" s="34">
        <f t="shared" si="20"/>
        <v>24000</v>
      </c>
      <c r="V30" s="34">
        <f t="shared" si="20"/>
        <v>24000</v>
      </c>
      <c r="W30" s="34">
        <f t="shared" si="20"/>
        <v>27000</v>
      </c>
      <c r="X30" s="34">
        <f t="shared" si="20"/>
        <v>27000</v>
      </c>
      <c r="Y30" s="34">
        <f t="shared" si="20"/>
        <v>27000</v>
      </c>
      <c r="Z30" s="34">
        <f t="shared" si="20"/>
        <v>30000</v>
      </c>
      <c r="AA30" s="34">
        <f t="shared" si="20"/>
        <v>30000</v>
      </c>
      <c r="AB30" s="34">
        <f t="shared" si="20"/>
        <v>30000</v>
      </c>
    </row>
    <row r="31">
      <c r="B31" s="54" t="s">
        <v>168</v>
      </c>
      <c r="C31" s="65"/>
      <c r="D31" s="61"/>
      <c r="E31" s="61">
        <v>3000.0</v>
      </c>
      <c r="F31" s="61">
        <v>3000.0</v>
      </c>
      <c r="G31" s="61">
        <v>3000.0</v>
      </c>
      <c r="H31" s="61">
        <v>3000.0</v>
      </c>
      <c r="I31" s="61">
        <v>3000.0</v>
      </c>
      <c r="J31" s="61">
        <v>3000.0</v>
      </c>
      <c r="K31" s="61">
        <v>3000.0</v>
      </c>
      <c r="L31" s="61">
        <v>3000.0</v>
      </c>
      <c r="M31" s="61">
        <v>3000.0</v>
      </c>
      <c r="N31" s="61">
        <v>3000.0</v>
      </c>
      <c r="P31" s="30" t="s">
        <v>392</v>
      </c>
      <c r="Q31" s="34">
        <v>1800.0</v>
      </c>
      <c r="R31" s="34">
        <v>1800.0</v>
      </c>
      <c r="S31" s="34">
        <v>1800.0</v>
      </c>
      <c r="T31" s="34">
        <v>1800.0</v>
      </c>
      <c r="U31" s="34">
        <v>1800.0</v>
      </c>
      <c r="V31" s="34">
        <v>1800.0</v>
      </c>
      <c r="W31" s="34">
        <v>1800.0</v>
      </c>
      <c r="X31" s="34">
        <v>1800.0</v>
      </c>
      <c r="Y31" s="34">
        <v>1800.0</v>
      </c>
      <c r="Z31" s="34">
        <v>1800.0</v>
      </c>
      <c r="AA31" s="34">
        <v>1800.0</v>
      </c>
      <c r="AB31" s="34">
        <v>1800.0</v>
      </c>
    </row>
    <row r="32">
      <c r="B32" s="54" t="s">
        <v>168</v>
      </c>
      <c r="C32" s="65"/>
      <c r="D32" s="61"/>
      <c r="E32" s="61">
        <v>3000.0</v>
      </c>
      <c r="F32" s="61">
        <v>3000.0</v>
      </c>
      <c r="G32" s="61">
        <v>3000.0</v>
      </c>
      <c r="H32" s="61">
        <v>3000.0</v>
      </c>
      <c r="I32" s="61">
        <v>3000.0</v>
      </c>
      <c r="J32" s="61">
        <v>3000.0</v>
      </c>
      <c r="K32" s="61">
        <v>3000.0</v>
      </c>
      <c r="L32" s="61">
        <v>3000.0</v>
      </c>
      <c r="M32" s="61">
        <v>3000.0</v>
      </c>
      <c r="N32" s="61">
        <v>3000.0</v>
      </c>
      <c r="P32" s="30" t="s">
        <v>286</v>
      </c>
      <c r="Q32" s="45">
        <f t="shared" ref="Q32:AB32" si="21">Q30/Q31</f>
        <v>11.94444444</v>
      </c>
      <c r="R32" s="45">
        <f t="shared" si="21"/>
        <v>11.94444444</v>
      </c>
      <c r="S32" s="45">
        <f t="shared" si="21"/>
        <v>11.94444444</v>
      </c>
      <c r="T32" s="45">
        <f t="shared" si="21"/>
        <v>13.33333333</v>
      </c>
      <c r="U32" s="45">
        <f t="shared" si="21"/>
        <v>13.33333333</v>
      </c>
      <c r="V32" s="45">
        <f t="shared" si="21"/>
        <v>13.33333333</v>
      </c>
      <c r="W32" s="45">
        <f t="shared" si="21"/>
        <v>15</v>
      </c>
      <c r="X32" s="45">
        <f t="shared" si="21"/>
        <v>15</v>
      </c>
      <c r="Y32" s="45">
        <f t="shared" si="21"/>
        <v>15</v>
      </c>
      <c r="Z32" s="45">
        <f t="shared" si="21"/>
        <v>16.66666667</v>
      </c>
      <c r="AA32" s="45">
        <f t="shared" si="21"/>
        <v>16.66666667</v>
      </c>
      <c r="AB32" s="45">
        <f t="shared" si="21"/>
        <v>16.66666667</v>
      </c>
    </row>
    <row r="33">
      <c r="B33" s="54" t="s">
        <v>168</v>
      </c>
      <c r="C33" s="65"/>
      <c r="D33" s="65"/>
      <c r="E33" s="65"/>
      <c r="F33" s="65"/>
      <c r="G33" s="65"/>
      <c r="H33" s="65"/>
      <c r="I33" s="65"/>
      <c r="J33" s="61">
        <v>3000.0</v>
      </c>
      <c r="K33" s="61">
        <v>3000.0</v>
      </c>
      <c r="L33" s="61">
        <v>3000.0</v>
      </c>
      <c r="M33" s="61">
        <v>3000.0</v>
      </c>
      <c r="N33" s="61">
        <v>3000.0</v>
      </c>
    </row>
    <row r="34">
      <c r="B34" s="54" t="s">
        <v>168</v>
      </c>
      <c r="C34" s="65"/>
      <c r="D34" s="65"/>
      <c r="E34" s="65"/>
      <c r="F34" s="65"/>
      <c r="G34" s="65"/>
      <c r="H34" s="65"/>
      <c r="I34" s="65"/>
      <c r="J34" s="61"/>
      <c r="K34" s="61">
        <v>3000.0</v>
      </c>
      <c r="L34" s="61">
        <v>3000.0</v>
      </c>
      <c r="M34" s="61">
        <v>3000.0</v>
      </c>
      <c r="N34" s="61">
        <v>3000.0</v>
      </c>
      <c r="P34" s="108" t="s">
        <v>393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"/>
    </row>
    <row r="35">
      <c r="B35" s="54" t="s">
        <v>168</v>
      </c>
      <c r="C35" s="14"/>
      <c r="D35" s="65"/>
      <c r="E35" s="65"/>
      <c r="F35" s="65"/>
      <c r="G35" s="65"/>
      <c r="H35" s="114"/>
      <c r="I35" s="114"/>
      <c r="J35" s="61"/>
      <c r="K35" s="114"/>
      <c r="L35" s="61">
        <v>3000.0</v>
      </c>
      <c r="M35" s="61">
        <v>3000.0</v>
      </c>
      <c r="N35" s="61">
        <v>3000.0</v>
      </c>
      <c r="P35" s="30" t="s">
        <v>76</v>
      </c>
      <c r="Q35" s="29" t="s">
        <v>77</v>
      </c>
      <c r="R35" s="7"/>
      <c r="S35" s="8"/>
      <c r="T35" s="29" t="s">
        <v>78</v>
      </c>
      <c r="U35" s="7"/>
      <c r="V35" s="8"/>
      <c r="W35" s="29" t="s">
        <v>79</v>
      </c>
      <c r="X35" s="7"/>
      <c r="Y35" s="8"/>
      <c r="Z35" s="29" t="s">
        <v>80</v>
      </c>
      <c r="AA35" s="7"/>
      <c r="AB35" s="8"/>
    </row>
    <row r="36">
      <c r="B36" s="54" t="s">
        <v>168</v>
      </c>
      <c r="C36" s="65"/>
      <c r="D36" s="65"/>
      <c r="E36" s="65"/>
      <c r="F36" s="65"/>
      <c r="G36" s="14"/>
      <c r="H36" s="65"/>
      <c r="I36" s="65"/>
      <c r="J36" s="65"/>
      <c r="K36" s="65"/>
      <c r="L36" s="65"/>
      <c r="M36" s="65"/>
      <c r="N36" s="61">
        <v>3000.0</v>
      </c>
      <c r="P36" s="12" t="s">
        <v>394</v>
      </c>
      <c r="Q36" s="49">
        <v>250000.0</v>
      </c>
      <c r="R36" s="49">
        <v>250000.0</v>
      </c>
      <c r="S36" s="49">
        <v>250000.0</v>
      </c>
      <c r="T36" s="49">
        <v>300000.0</v>
      </c>
      <c r="U36" s="49">
        <v>300000.0</v>
      </c>
      <c r="V36" s="49">
        <v>300000.0</v>
      </c>
      <c r="W36" s="49">
        <v>350000.0</v>
      </c>
      <c r="X36" s="49">
        <v>350000.0</v>
      </c>
      <c r="Y36" s="49">
        <v>350000.0</v>
      </c>
      <c r="Z36" s="49">
        <v>400000.0</v>
      </c>
      <c r="AA36" s="49">
        <v>400000.0</v>
      </c>
      <c r="AB36" s="49">
        <v>400000.0</v>
      </c>
    </row>
    <row r="37">
      <c r="B37" s="54" t="s">
        <v>168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P37" s="12" t="s">
        <v>395</v>
      </c>
      <c r="Q37" s="49">
        <v>20000.0</v>
      </c>
      <c r="R37" s="49">
        <v>20000.0</v>
      </c>
      <c r="S37" s="49">
        <v>20000.0</v>
      </c>
      <c r="T37" s="49">
        <v>25000.0</v>
      </c>
      <c r="U37" s="49">
        <v>25000.0</v>
      </c>
      <c r="V37" s="49">
        <v>25000.0</v>
      </c>
      <c r="W37" s="49">
        <v>30000.0</v>
      </c>
      <c r="X37" s="49">
        <v>30000.0</v>
      </c>
      <c r="Y37" s="49">
        <v>30000.0</v>
      </c>
      <c r="Z37" s="49">
        <v>35000.0</v>
      </c>
      <c r="AA37" s="49">
        <v>35000.0</v>
      </c>
      <c r="AB37" s="49">
        <v>35000.0</v>
      </c>
    </row>
    <row r="38">
      <c r="B38" s="54" t="s">
        <v>168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P38" s="12" t="s">
        <v>396</v>
      </c>
      <c r="Q38" s="49">
        <f t="shared" ref="Q38:AB38" si="22">Q36+Q37</f>
        <v>270000</v>
      </c>
      <c r="R38" s="49">
        <f t="shared" si="22"/>
        <v>270000</v>
      </c>
      <c r="S38" s="49">
        <f t="shared" si="22"/>
        <v>270000</v>
      </c>
      <c r="T38" s="49">
        <f t="shared" si="22"/>
        <v>325000</v>
      </c>
      <c r="U38" s="49">
        <f t="shared" si="22"/>
        <v>325000</v>
      </c>
      <c r="V38" s="49">
        <f t="shared" si="22"/>
        <v>325000</v>
      </c>
      <c r="W38" s="49">
        <f t="shared" si="22"/>
        <v>380000</v>
      </c>
      <c r="X38" s="49">
        <f t="shared" si="22"/>
        <v>380000</v>
      </c>
      <c r="Y38" s="49">
        <f t="shared" si="22"/>
        <v>380000</v>
      </c>
      <c r="Z38" s="49">
        <f t="shared" si="22"/>
        <v>435000</v>
      </c>
      <c r="AA38" s="49">
        <f t="shared" si="22"/>
        <v>435000</v>
      </c>
      <c r="AB38" s="49">
        <f t="shared" si="22"/>
        <v>435000</v>
      </c>
    </row>
    <row r="39">
      <c r="P39" s="30" t="s">
        <v>397</v>
      </c>
      <c r="Q39" s="33">
        <v>0.42</v>
      </c>
      <c r="R39" s="33">
        <v>0.42</v>
      </c>
      <c r="S39" s="33">
        <v>0.42</v>
      </c>
      <c r="T39" s="33">
        <v>0.42</v>
      </c>
      <c r="U39" s="33">
        <v>0.42</v>
      </c>
      <c r="V39" s="33">
        <v>0.42</v>
      </c>
      <c r="W39" s="33">
        <v>0.42</v>
      </c>
      <c r="X39" s="33">
        <v>0.42</v>
      </c>
      <c r="Y39" s="33">
        <v>0.42</v>
      </c>
      <c r="Z39" s="33">
        <v>0.42</v>
      </c>
      <c r="AA39" s="33">
        <v>0.42</v>
      </c>
      <c r="AB39" s="33">
        <v>0.42</v>
      </c>
    </row>
    <row r="40">
      <c r="B40" s="59" t="s">
        <v>21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  <c r="P40" s="30" t="s">
        <v>398</v>
      </c>
      <c r="Q40" s="35">
        <f t="shared" ref="Q40:AB40" si="23">Q38*Q39</f>
        <v>113400</v>
      </c>
      <c r="R40" s="35">
        <f t="shared" si="23"/>
        <v>113400</v>
      </c>
      <c r="S40" s="35">
        <f t="shared" si="23"/>
        <v>113400</v>
      </c>
      <c r="T40" s="35">
        <f t="shared" si="23"/>
        <v>136500</v>
      </c>
      <c r="U40" s="35">
        <f t="shared" si="23"/>
        <v>136500</v>
      </c>
      <c r="V40" s="35">
        <f t="shared" si="23"/>
        <v>136500</v>
      </c>
      <c r="W40" s="35">
        <f t="shared" si="23"/>
        <v>159600</v>
      </c>
      <c r="X40" s="35">
        <f t="shared" si="23"/>
        <v>159600</v>
      </c>
      <c r="Y40" s="35">
        <f t="shared" si="23"/>
        <v>159600</v>
      </c>
      <c r="Z40" s="35">
        <f t="shared" si="23"/>
        <v>182700</v>
      </c>
      <c r="AA40" s="35">
        <f t="shared" si="23"/>
        <v>182700</v>
      </c>
      <c r="AB40" s="35">
        <f t="shared" si="23"/>
        <v>182700</v>
      </c>
    </row>
    <row r="41">
      <c r="B41" s="30" t="s">
        <v>76</v>
      </c>
      <c r="C41" s="29" t="s">
        <v>77</v>
      </c>
      <c r="D41" s="7"/>
      <c r="E41" s="8"/>
      <c r="F41" s="29" t="s">
        <v>78</v>
      </c>
      <c r="G41" s="7"/>
      <c r="H41" s="8"/>
      <c r="I41" s="29" t="s">
        <v>79</v>
      </c>
      <c r="J41" s="7"/>
      <c r="K41" s="8"/>
      <c r="L41" s="29" t="s">
        <v>80</v>
      </c>
      <c r="M41" s="7"/>
      <c r="N41" s="8"/>
      <c r="P41" s="30" t="s">
        <v>399</v>
      </c>
      <c r="Q41" s="34">
        <v>15000.0</v>
      </c>
      <c r="R41" s="34">
        <v>15000.0</v>
      </c>
      <c r="S41" s="34">
        <v>15000.0</v>
      </c>
      <c r="T41" s="34">
        <v>15000.0</v>
      </c>
      <c r="U41" s="34">
        <v>15000.0</v>
      </c>
      <c r="V41" s="34">
        <v>15000.0</v>
      </c>
      <c r="W41" s="34">
        <v>15000.0</v>
      </c>
      <c r="X41" s="34">
        <v>15000.0</v>
      </c>
      <c r="Y41" s="34">
        <v>15000.0</v>
      </c>
      <c r="Z41" s="34">
        <v>15000.0</v>
      </c>
      <c r="AA41" s="34">
        <v>15000.0</v>
      </c>
      <c r="AB41" s="34">
        <v>15000.0</v>
      </c>
    </row>
    <row r="42">
      <c r="B42" s="30" t="s">
        <v>141</v>
      </c>
      <c r="C42" s="13" t="s">
        <v>81</v>
      </c>
      <c r="D42" s="13" t="s">
        <v>82</v>
      </c>
      <c r="E42" s="13" t="s">
        <v>83</v>
      </c>
      <c r="F42" s="13" t="s">
        <v>84</v>
      </c>
      <c r="G42" s="13" t="s">
        <v>85</v>
      </c>
      <c r="H42" s="13" t="s">
        <v>86</v>
      </c>
      <c r="I42" s="13" t="s">
        <v>87</v>
      </c>
      <c r="J42" s="13" t="s">
        <v>88</v>
      </c>
      <c r="K42" s="13" t="s">
        <v>89</v>
      </c>
      <c r="L42" s="13" t="s">
        <v>90</v>
      </c>
      <c r="M42" s="13" t="s">
        <v>91</v>
      </c>
      <c r="N42" s="13" t="s">
        <v>92</v>
      </c>
      <c r="P42" s="30" t="s">
        <v>400</v>
      </c>
      <c r="Q42" s="45">
        <f t="shared" ref="Q42:AB42" si="24">Q40/Q41</f>
        <v>7.56</v>
      </c>
      <c r="R42" s="45">
        <f t="shared" si="24"/>
        <v>7.56</v>
      </c>
      <c r="S42" s="45">
        <f t="shared" si="24"/>
        <v>7.56</v>
      </c>
      <c r="T42" s="45">
        <f t="shared" si="24"/>
        <v>9.1</v>
      </c>
      <c r="U42" s="45">
        <f t="shared" si="24"/>
        <v>9.1</v>
      </c>
      <c r="V42" s="45">
        <f t="shared" si="24"/>
        <v>9.1</v>
      </c>
      <c r="W42" s="45">
        <f t="shared" si="24"/>
        <v>10.64</v>
      </c>
      <c r="X42" s="45">
        <f t="shared" si="24"/>
        <v>10.64</v>
      </c>
      <c r="Y42" s="45">
        <f t="shared" si="24"/>
        <v>10.64</v>
      </c>
      <c r="Z42" s="45">
        <f t="shared" si="24"/>
        <v>12.18</v>
      </c>
      <c r="AA42" s="45">
        <f t="shared" si="24"/>
        <v>12.18</v>
      </c>
      <c r="AB42" s="45">
        <f t="shared" si="24"/>
        <v>12.18</v>
      </c>
    </row>
    <row r="43">
      <c r="B43" s="30" t="s">
        <v>401</v>
      </c>
      <c r="C43" s="34">
        <f t="shared" ref="C43:N43" si="25">SUM(C44:C59)</f>
        <v>28400</v>
      </c>
      <c r="D43" s="34">
        <f t="shared" si="25"/>
        <v>31800</v>
      </c>
      <c r="E43" s="34">
        <f t="shared" si="25"/>
        <v>31800</v>
      </c>
      <c r="F43" s="34">
        <f t="shared" si="25"/>
        <v>35400</v>
      </c>
      <c r="G43" s="34">
        <f t="shared" si="25"/>
        <v>35400</v>
      </c>
      <c r="H43" s="34">
        <f t="shared" si="25"/>
        <v>35400</v>
      </c>
      <c r="I43" s="34">
        <f t="shared" si="25"/>
        <v>35400</v>
      </c>
      <c r="J43" s="34">
        <f t="shared" si="25"/>
        <v>35400</v>
      </c>
      <c r="K43" s="34">
        <f t="shared" si="25"/>
        <v>35400</v>
      </c>
      <c r="L43" s="34">
        <f t="shared" si="25"/>
        <v>35400</v>
      </c>
      <c r="M43" s="34">
        <f t="shared" si="25"/>
        <v>35400</v>
      </c>
      <c r="N43" s="34">
        <f t="shared" si="25"/>
        <v>35400</v>
      </c>
    </row>
    <row r="44">
      <c r="B44" s="65" t="s">
        <v>402</v>
      </c>
      <c r="C44" s="61">
        <v>4400.0</v>
      </c>
      <c r="D44" s="61">
        <v>4400.0</v>
      </c>
      <c r="E44" s="61">
        <v>4400.0</v>
      </c>
      <c r="F44" s="61">
        <v>4400.0</v>
      </c>
      <c r="G44" s="61">
        <v>4400.0</v>
      </c>
      <c r="H44" s="61">
        <v>4400.0</v>
      </c>
      <c r="I44" s="61">
        <v>4400.0</v>
      </c>
      <c r="J44" s="61">
        <v>4400.0</v>
      </c>
      <c r="K44" s="61">
        <v>4400.0</v>
      </c>
      <c r="L44" s="61">
        <v>4400.0</v>
      </c>
      <c r="M44" s="61">
        <v>4400.0</v>
      </c>
      <c r="N44" s="61">
        <v>4400.0</v>
      </c>
      <c r="P44" s="30" t="s">
        <v>403</v>
      </c>
      <c r="Q44" s="33">
        <v>0.1</v>
      </c>
      <c r="R44" s="33">
        <v>0.1</v>
      </c>
      <c r="S44" s="33">
        <v>0.1</v>
      </c>
      <c r="T44" s="33">
        <v>0.1</v>
      </c>
      <c r="U44" s="33">
        <v>0.1</v>
      </c>
      <c r="V44" s="33">
        <v>0.1</v>
      </c>
      <c r="W44" s="33">
        <v>0.1</v>
      </c>
      <c r="X44" s="33">
        <v>0.1</v>
      </c>
      <c r="Y44" s="33">
        <v>0.1</v>
      </c>
      <c r="Z44" s="33">
        <v>0.1</v>
      </c>
      <c r="AA44" s="33">
        <v>0.1</v>
      </c>
      <c r="AB44" s="33">
        <v>0.1</v>
      </c>
    </row>
    <row r="45">
      <c r="B45" s="65" t="s">
        <v>404</v>
      </c>
      <c r="C45" s="61">
        <v>5900.0</v>
      </c>
      <c r="D45" s="61">
        <v>5900.0</v>
      </c>
      <c r="E45" s="61">
        <v>5900.0</v>
      </c>
      <c r="F45" s="61">
        <v>5900.0</v>
      </c>
      <c r="G45" s="61">
        <v>5900.0</v>
      </c>
      <c r="H45" s="61">
        <v>5900.0</v>
      </c>
      <c r="I45" s="61">
        <v>5900.0</v>
      </c>
      <c r="J45" s="61">
        <v>5900.0</v>
      </c>
      <c r="K45" s="61">
        <v>5900.0</v>
      </c>
      <c r="L45" s="61">
        <v>5900.0</v>
      </c>
      <c r="M45" s="61">
        <v>5900.0</v>
      </c>
      <c r="N45" s="61">
        <v>5900.0</v>
      </c>
      <c r="P45" s="30" t="s">
        <v>405</v>
      </c>
      <c r="Q45" s="35">
        <f t="shared" ref="Q45:AB45" si="26">Q38*Q44</f>
        <v>27000</v>
      </c>
      <c r="R45" s="35">
        <f t="shared" si="26"/>
        <v>27000</v>
      </c>
      <c r="S45" s="35">
        <f t="shared" si="26"/>
        <v>27000</v>
      </c>
      <c r="T45" s="35">
        <f t="shared" si="26"/>
        <v>32500</v>
      </c>
      <c r="U45" s="35">
        <f t="shared" si="26"/>
        <v>32500</v>
      </c>
      <c r="V45" s="35">
        <f t="shared" si="26"/>
        <v>32500</v>
      </c>
      <c r="W45" s="35">
        <f t="shared" si="26"/>
        <v>38000</v>
      </c>
      <c r="X45" s="35">
        <f t="shared" si="26"/>
        <v>38000</v>
      </c>
      <c r="Y45" s="35">
        <f t="shared" si="26"/>
        <v>38000</v>
      </c>
      <c r="Z45" s="35">
        <f t="shared" si="26"/>
        <v>43500</v>
      </c>
      <c r="AA45" s="35">
        <f t="shared" si="26"/>
        <v>43500</v>
      </c>
      <c r="AB45" s="35">
        <f t="shared" si="26"/>
        <v>43500</v>
      </c>
    </row>
    <row r="46">
      <c r="B46" s="65" t="s">
        <v>406</v>
      </c>
      <c r="C46" s="61">
        <v>4400.0</v>
      </c>
      <c r="D46" s="61">
        <v>4400.0</v>
      </c>
      <c r="E46" s="61">
        <v>4400.0</v>
      </c>
      <c r="F46" s="61">
        <v>4400.0</v>
      </c>
      <c r="G46" s="61">
        <v>4400.0</v>
      </c>
      <c r="H46" s="61">
        <v>4400.0</v>
      </c>
      <c r="I46" s="61">
        <v>4400.0</v>
      </c>
      <c r="J46" s="61">
        <v>4400.0</v>
      </c>
      <c r="K46" s="61">
        <v>4400.0</v>
      </c>
      <c r="L46" s="61">
        <v>4400.0</v>
      </c>
      <c r="M46" s="61">
        <v>4400.0</v>
      </c>
      <c r="N46" s="61">
        <v>4400.0</v>
      </c>
      <c r="P46" s="30" t="s">
        <v>407</v>
      </c>
      <c r="Q46" s="35">
        <v>12000.0</v>
      </c>
      <c r="R46" s="34">
        <v>12000.0</v>
      </c>
      <c r="S46" s="34">
        <v>12000.0</v>
      </c>
      <c r="T46" s="34">
        <v>12000.0</v>
      </c>
      <c r="U46" s="34">
        <v>12000.0</v>
      </c>
      <c r="V46" s="34">
        <v>12000.0</v>
      </c>
      <c r="W46" s="34">
        <v>12000.0</v>
      </c>
      <c r="X46" s="34">
        <v>12000.0</v>
      </c>
      <c r="Y46" s="34">
        <v>12000.0</v>
      </c>
      <c r="Z46" s="34">
        <v>12000.0</v>
      </c>
      <c r="AA46" s="34">
        <v>12000.0</v>
      </c>
      <c r="AB46" s="34">
        <v>12000.0</v>
      </c>
    </row>
    <row r="47">
      <c r="B47" s="65" t="s">
        <v>408</v>
      </c>
      <c r="C47" s="61">
        <v>3400.0</v>
      </c>
      <c r="D47" s="61">
        <v>3400.0</v>
      </c>
      <c r="E47" s="61">
        <v>3400.0</v>
      </c>
      <c r="F47" s="61">
        <v>3400.0</v>
      </c>
      <c r="G47" s="61">
        <v>3400.0</v>
      </c>
      <c r="H47" s="61">
        <v>3400.0</v>
      </c>
      <c r="I47" s="61">
        <v>3400.0</v>
      </c>
      <c r="J47" s="61">
        <v>3400.0</v>
      </c>
      <c r="K47" s="61">
        <v>3400.0</v>
      </c>
      <c r="L47" s="61">
        <v>3400.0</v>
      </c>
      <c r="M47" s="61">
        <v>3400.0</v>
      </c>
      <c r="N47" s="61">
        <v>3400.0</v>
      </c>
      <c r="P47" s="30" t="s">
        <v>409</v>
      </c>
      <c r="Q47" s="45">
        <f t="shared" ref="Q47:AB47" si="27">Q45/Q46</f>
        <v>2.25</v>
      </c>
      <c r="R47" s="45">
        <f t="shared" si="27"/>
        <v>2.25</v>
      </c>
      <c r="S47" s="45">
        <f t="shared" si="27"/>
        <v>2.25</v>
      </c>
      <c r="T47" s="45">
        <f t="shared" si="27"/>
        <v>2.708333333</v>
      </c>
      <c r="U47" s="45">
        <f t="shared" si="27"/>
        <v>2.708333333</v>
      </c>
      <c r="V47" s="45">
        <f t="shared" si="27"/>
        <v>2.708333333</v>
      </c>
      <c r="W47" s="45">
        <f t="shared" si="27"/>
        <v>3.166666667</v>
      </c>
      <c r="X47" s="45">
        <f t="shared" si="27"/>
        <v>3.166666667</v>
      </c>
      <c r="Y47" s="45">
        <f t="shared" si="27"/>
        <v>3.166666667</v>
      </c>
      <c r="Z47" s="45">
        <f t="shared" si="27"/>
        <v>3.625</v>
      </c>
      <c r="AA47" s="45">
        <f t="shared" si="27"/>
        <v>3.625</v>
      </c>
      <c r="AB47" s="45">
        <f t="shared" si="27"/>
        <v>3.625</v>
      </c>
    </row>
    <row r="48">
      <c r="B48" s="65" t="s">
        <v>410</v>
      </c>
      <c r="C48" s="61">
        <v>5900.0</v>
      </c>
      <c r="D48" s="61">
        <v>5900.0</v>
      </c>
      <c r="E48" s="61">
        <v>5900.0</v>
      </c>
      <c r="F48" s="61">
        <v>5900.0</v>
      </c>
      <c r="G48" s="61">
        <v>5900.0</v>
      </c>
      <c r="H48" s="61">
        <v>5900.0</v>
      </c>
      <c r="I48" s="61">
        <v>5900.0</v>
      </c>
      <c r="J48" s="61">
        <v>5900.0</v>
      </c>
      <c r="K48" s="61">
        <v>5900.0</v>
      </c>
      <c r="L48" s="61">
        <v>5900.0</v>
      </c>
      <c r="M48" s="61">
        <v>5900.0</v>
      </c>
      <c r="N48" s="61">
        <v>5900.0</v>
      </c>
    </row>
    <row r="49">
      <c r="B49" s="65" t="s">
        <v>411</v>
      </c>
      <c r="C49" s="61">
        <v>4400.0</v>
      </c>
      <c r="D49" s="61">
        <v>4400.0</v>
      </c>
      <c r="E49" s="61">
        <v>4400.0</v>
      </c>
      <c r="F49" s="61">
        <v>4400.0</v>
      </c>
      <c r="G49" s="61">
        <v>4400.0</v>
      </c>
      <c r="H49" s="61">
        <v>4400.0</v>
      </c>
      <c r="I49" s="61">
        <v>4400.0</v>
      </c>
      <c r="J49" s="61">
        <v>4400.0</v>
      </c>
      <c r="K49" s="61">
        <v>4400.0</v>
      </c>
      <c r="L49" s="61">
        <v>4400.0</v>
      </c>
      <c r="M49" s="61">
        <v>4400.0</v>
      </c>
      <c r="N49" s="61">
        <v>4400.0</v>
      </c>
      <c r="P49" s="30" t="s">
        <v>412</v>
      </c>
      <c r="Q49" s="33">
        <v>0.08</v>
      </c>
      <c r="R49" s="33">
        <v>0.08</v>
      </c>
      <c r="S49" s="33">
        <v>0.08</v>
      </c>
      <c r="T49" s="33">
        <v>0.08</v>
      </c>
      <c r="U49" s="33">
        <v>0.08</v>
      </c>
      <c r="V49" s="33">
        <v>0.08</v>
      </c>
      <c r="W49" s="33">
        <v>0.08</v>
      </c>
      <c r="X49" s="33">
        <v>0.08</v>
      </c>
      <c r="Y49" s="33">
        <v>0.08</v>
      </c>
      <c r="Z49" s="33">
        <v>0.08</v>
      </c>
      <c r="AA49" s="33">
        <v>0.08</v>
      </c>
      <c r="AB49" s="33">
        <v>0.08</v>
      </c>
    </row>
    <row r="50">
      <c r="B50" s="54" t="s">
        <v>168</v>
      </c>
      <c r="C50" s="65"/>
      <c r="D50" s="63">
        <v>3400.0</v>
      </c>
      <c r="E50" s="63">
        <v>3400.0</v>
      </c>
      <c r="F50" s="63">
        <v>3500.0</v>
      </c>
      <c r="G50" s="63">
        <v>3500.0</v>
      </c>
      <c r="H50" s="63">
        <v>3500.0</v>
      </c>
      <c r="I50" s="63">
        <v>3500.0</v>
      </c>
      <c r="J50" s="63">
        <v>3500.0</v>
      </c>
      <c r="K50" s="63">
        <v>3500.0</v>
      </c>
      <c r="L50" s="63">
        <v>3500.0</v>
      </c>
      <c r="M50" s="63">
        <v>3500.0</v>
      </c>
      <c r="N50" s="63">
        <v>3500.0</v>
      </c>
      <c r="P50" s="30" t="s">
        <v>413</v>
      </c>
      <c r="Q50" s="35">
        <f t="shared" ref="Q50:AB50" si="28">Q38*Q49</f>
        <v>21600</v>
      </c>
      <c r="R50" s="35">
        <f t="shared" si="28"/>
        <v>21600</v>
      </c>
      <c r="S50" s="35">
        <f t="shared" si="28"/>
        <v>21600</v>
      </c>
      <c r="T50" s="35">
        <f t="shared" si="28"/>
        <v>26000</v>
      </c>
      <c r="U50" s="35">
        <f t="shared" si="28"/>
        <v>26000</v>
      </c>
      <c r="V50" s="35">
        <f t="shared" si="28"/>
        <v>26000</v>
      </c>
      <c r="W50" s="35">
        <f t="shared" si="28"/>
        <v>30400</v>
      </c>
      <c r="X50" s="35">
        <f t="shared" si="28"/>
        <v>30400</v>
      </c>
      <c r="Y50" s="35">
        <f t="shared" si="28"/>
        <v>30400</v>
      </c>
      <c r="Z50" s="35">
        <f t="shared" si="28"/>
        <v>34800</v>
      </c>
      <c r="AA50" s="35">
        <f t="shared" si="28"/>
        <v>34800</v>
      </c>
      <c r="AB50" s="35">
        <f t="shared" si="28"/>
        <v>34800</v>
      </c>
    </row>
    <row r="51">
      <c r="B51" s="54" t="s">
        <v>168</v>
      </c>
      <c r="C51" s="65"/>
      <c r="D51" s="65"/>
      <c r="E51" s="65"/>
      <c r="F51" s="63">
        <v>3500.0</v>
      </c>
      <c r="G51" s="63">
        <v>3500.0</v>
      </c>
      <c r="H51" s="63">
        <v>3500.0</v>
      </c>
      <c r="I51" s="63">
        <v>3500.0</v>
      </c>
      <c r="J51" s="63">
        <v>3500.0</v>
      </c>
      <c r="K51" s="63">
        <v>3500.0</v>
      </c>
      <c r="L51" s="63">
        <v>3500.0</v>
      </c>
      <c r="M51" s="63">
        <v>3500.0</v>
      </c>
      <c r="N51" s="63">
        <v>3500.0</v>
      </c>
      <c r="P51" s="30" t="s">
        <v>414</v>
      </c>
      <c r="Q51" s="34">
        <v>3000.0</v>
      </c>
      <c r="R51" s="34">
        <v>3000.0</v>
      </c>
      <c r="S51" s="34">
        <v>3000.0</v>
      </c>
      <c r="T51" s="34">
        <v>3000.0</v>
      </c>
      <c r="U51" s="34">
        <v>3000.0</v>
      </c>
      <c r="V51" s="34">
        <v>3000.0</v>
      </c>
      <c r="W51" s="34">
        <v>3000.0</v>
      </c>
      <c r="X51" s="34">
        <v>3000.0</v>
      </c>
      <c r="Y51" s="34">
        <v>3000.0</v>
      </c>
      <c r="Z51" s="34">
        <v>3000.0</v>
      </c>
      <c r="AA51" s="34">
        <v>3000.0</v>
      </c>
      <c r="AB51" s="34">
        <v>3000.0</v>
      </c>
    </row>
    <row r="52">
      <c r="B52" s="54" t="s">
        <v>168</v>
      </c>
      <c r="C52" s="65"/>
      <c r="D52" s="65"/>
      <c r="E52" s="65"/>
      <c r="F52" s="115"/>
      <c r="G52" s="115"/>
      <c r="H52" s="115"/>
      <c r="I52" s="115"/>
      <c r="J52" s="115"/>
      <c r="K52" s="115"/>
      <c r="L52" s="115"/>
      <c r="M52" s="115"/>
      <c r="N52" s="115"/>
      <c r="P52" s="30" t="s">
        <v>415</v>
      </c>
      <c r="Q52" s="45">
        <f t="shared" ref="Q52:AB52" si="29">Q50/Q51</f>
        <v>7.2</v>
      </c>
      <c r="R52" s="45">
        <f t="shared" si="29"/>
        <v>7.2</v>
      </c>
      <c r="S52" s="45">
        <f t="shared" si="29"/>
        <v>7.2</v>
      </c>
      <c r="T52" s="45">
        <f t="shared" si="29"/>
        <v>8.666666667</v>
      </c>
      <c r="U52" s="45">
        <f t="shared" si="29"/>
        <v>8.666666667</v>
      </c>
      <c r="V52" s="45">
        <f t="shared" si="29"/>
        <v>8.666666667</v>
      </c>
      <c r="W52" s="45">
        <f t="shared" si="29"/>
        <v>10.13333333</v>
      </c>
      <c r="X52" s="45">
        <f t="shared" si="29"/>
        <v>10.13333333</v>
      </c>
      <c r="Y52" s="45">
        <f t="shared" si="29"/>
        <v>10.13333333</v>
      </c>
      <c r="Z52" s="45">
        <f t="shared" si="29"/>
        <v>11.6</v>
      </c>
      <c r="AA52" s="45">
        <f t="shared" si="29"/>
        <v>11.6</v>
      </c>
      <c r="AB52" s="45">
        <f t="shared" si="29"/>
        <v>11.6</v>
      </c>
    </row>
    <row r="53">
      <c r="B53" s="54" t="s">
        <v>168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</row>
    <row r="54">
      <c r="B54" s="54" t="s">
        <v>168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P54" s="30" t="s">
        <v>373</v>
      </c>
      <c r="Q54" s="33">
        <v>0.2</v>
      </c>
      <c r="R54" s="33">
        <v>0.2</v>
      </c>
      <c r="S54" s="33">
        <v>0.2</v>
      </c>
      <c r="T54" s="33">
        <v>0.2</v>
      </c>
      <c r="U54" s="33">
        <v>0.2</v>
      </c>
      <c r="V54" s="33">
        <v>0.2</v>
      </c>
      <c r="W54" s="33">
        <v>0.2</v>
      </c>
      <c r="X54" s="33">
        <v>0.2</v>
      </c>
      <c r="Y54" s="33">
        <v>0.2</v>
      </c>
      <c r="Z54" s="33">
        <v>0.2</v>
      </c>
      <c r="AA54" s="33">
        <v>0.2</v>
      </c>
      <c r="AB54" s="33">
        <v>0.2</v>
      </c>
    </row>
    <row r="55">
      <c r="B55" s="54" t="s">
        <v>168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P55" s="30" t="s">
        <v>416</v>
      </c>
      <c r="Q55" s="35">
        <f t="shared" ref="Q55:AB55" si="30">Q38*Q54</f>
        <v>54000</v>
      </c>
      <c r="R55" s="35">
        <f t="shared" si="30"/>
        <v>54000</v>
      </c>
      <c r="S55" s="35">
        <f t="shared" si="30"/>
        <v>54000</v>
      </c>
      <c r="T55" s="35">
        <f t="shared" si="30"/>
        <v>65000</v>
      </c>
      <c r="U55" s="35">
        <f t="shared" si="30"/>
        <v>65000</v>
      </c>
      <c r="V55" s="35">
        <f t="shared" si="30"/>
        <v>65000</v>
      </c>
      <c r="W55" s="35">
        <f t="shared" si="30"/>
        <v>76000</v>
      </c>
      <c r="X55" s="35">
        <f t="shared" si="30"/>
        <v>76000</v>
      </c>
      <c r="Y55" s="35">
        <f t="shared" si="30"/>
        <v>76000</v>
      </c>
      <c r="Z55" s="35">
        <f t="shared" si="30"/>
        <v>87000</v>
      </c>
      <c r="AA55" s="35">
        <f t="shared" si="30"/>
        <v>87000</v>
      </c>
      <c r="AB55" s="35">
        <f t="shared" si="30"/>
        <v>87000</v>
      </c>
    </row>
    <row r="56">
      <c r="B56" s="54" t="s">
        <v>168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P56" s="30" t="s">
        <v>376</v>
      </c>
      <c r="Q56" s="34">
        <v>7000.0</v>
      </c>
      <c r="R56" s="34">
        <v>7000.0</v>
      </c>
      <c r="S56" s="34">
        <v>7000.0</v>
      </c>
      <c r="T56" s="34">
        <v>7000.0</v>
      </c>
      <c r="U56" s="34">
        <v>7000.0</v>
      </c>
      <c r="V56" s="34">
        <v>7000.0</v>
      </c>
      <c r="W56" s="34">
        <v>7000.0</v>
      </c>
      <c r="X56" s="34">
        <v>7000.0</v>
      </c>
      <c r="Y56" s="34">
        <v>7000.0</v>
      </c>
      <c r="Z56" s="34">
        <v>7000.0</v>
      </c>
      <c r="AA56" s="34">
        <v>7000.0</v>
      </c>
      <c r="AB56" s="34">
        <v>7000.0</v>
      </c>
    </row>
    <row r="57">
      <c r="B57" s="54" t="s">
        <v>168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P57" s="30" t="s">
        <v>244</v>
      </c>
      <c r="Q57" s="45">
        <f t="shared" ref="Q57:AB57" si="31">Q55/Q56</f>
        <v>7.714285714</v>
      </c>
      <c r="R57" s="45">
        <f t="shared" si="31"/>
        <v>7.714285714</v>
      </c>
      <c r="S57" s="45">
        <f t="shared" si="31"/>
        <v>7.714285714</v>
      </c>
      <c r="T57" s="45">
        <f t="shared" si="31"/>
        <v>9.285714286</v>
      </c>
      <c r="U57" s="45">
        <f t="shared" si="31"/>
        <v>9.285714286</v>
      </c>
      <c r="V57" s="45">
        <f t="shared" si="31"/>
        <v>9.285714286</v>
      </c>
      <c r="W57" s="45">
        <f t="shared" si="31"/>
        <v>10.85714286</v>
      </c>
      <c r="X57" s="45">
        <f t="shared" si="31"/>
        <v>10.85714286</v>
      </c>
      <c r="Y57" s="45">
        <f t="shared" si="31"/>
        <v>10.85714286</v>
      </c>
      <c r="Z57" s="45">
        <f t="shared" si="31"/>
        <v>12.42857143</v>
      </c>
      <c r="AA57" s="45">
        <f t="shared" si="31"/>
        <v>12.42857143</v>
      </c>
      <c r="AB57" s="45">
        <f t="shared" si="31"/>
        <v>12.42857143</v>
      </c>
    </row>
    <row r="58">
      <c r="B58" s="54" t="s">
        <v>168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</row>
    <row r="59">
      <c r="B59" s="54" t="s">
        <v>168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P59" s="30" t="s">
        <v>417</v>
      </c>
      <c r="Q59" s="33">
        <v>0.05</v>
      </c>
      <c r="R59" s="33">
        <v>0.05</v>
      </c>
      <c r="S59" s="33">
        <v>0.05</v>
      </c>
      <c r="T59" s="33">
        <v>0.05</v>
      </c>
      <c r="U59" s="33">
        <v>0.05</v>
      </c>
      <c r="V59" s="33">
        <v>0.05</v>
      </c>
      <c r="W59" s="33">
        <v>0.05</v>
      </c>
      <c r="X59" s="33">
        <v>0.05</v>
      </c>
      <c r="Y59" s="33">
        <v>0.05</v>
      </c>
      <c r="Z59" s="33">
        <v>0.05</v>
      </c>
      <c r="AA59" s="33">
        <v>0.05</v>
      </c>
      <c r="AB59" s="33">
        <v>0.05</v>
      </c>
    </row>
    <row r="60">
      <c r="P60" s="30" t="s">
        <v>418</v>
      </c>
      <c r="Q60" s="35">
        <f t="shared" ref="Q60:AB60" si="32">Q38*Q59</f>
        <v>13500</v>
      </c>
      <c r="R60" s="35">
        <f t="shared" si="32"/>
        <v>13500</v>
      </c>
      <c r="S60" s="35">
        <f t="shared" si="32"/>
        <v>13500</v>
      </c>
      <c r="T60" s="35">
        <f t="shared" si="32"/>
        <v>16250</v>
      </c>
      <c r="U60" s="35">
        <f t="shared" si="32"/>
        <v>16250</v>
      </c>
      <c r="V60" s="35">
        <f t="shared" si="32"/>
        <v>16250</v>
      </c>
      <c r="W60" s="35">
        <f t="shared" si="32"/>
        <v>19000</v>
      </c>
      <c r="X60" s="35">
        <f t="shared" si="32"/>
        <v>19000</v>
      </c>
      <c r="Y60" s="35">
        <f t="shared" si="32"/>
        <v>19000</v>
      </c>
      <c r="Z60" s="35">
        <f t="shared" si="32"/>
        <v>21750</v>
      </c>
      <c r="AA60" s="35">
        <f t="shared" si="32"/>
        <v>21750</v>
      </c>
      <c r="AB60" s="35">
        <f t="shared" si="32"/>
        <v>21750</v>
      </c>
    </row>
    <row r="61">
      <c r="P61" s="30" t="s">
        <v>419</v>
      </c>
      <c r="Q61" s="35">
        <v>5000.0</v>
      </c>
      <c r="R61" s="34">
        <v>5000.0</v>
      </c>
      <c r="S61" s="34">
        <v>5000.0</v>
      </c>
      <c r="T61" s="34">
        <v>5000.0</v>
      </c>
      <c r="U61" s="34">
        <v>5000.0</v>
      </c>
      <c r="V61" s="34">
        <v>5000.0</v>
      </c>
      <c r="W61" s="34">
        <v>5000.0</v>
      </c>
      <c r="X61" s="34">
        <v>5000.0</v>
      </c>
      <c r="Y61" s="34">
        <v>5000.0</v>
      </c>
      <c r="Z61" s="34">
        <v>5000.0</v>
      </c>
      <c r="AA61" s="34">
        <v>5000.0</v>
      </c>
      <c r="AB61" s="34">
        <v>5000.0</v>
      </c>
    </row>
    <row r="62">
      <c r="B62" s="59" t="s">
        <v>420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  <c r="P62" s="30" t="s">
        <v>421</v>
      </c>
      <c r="Q62" s="45">
        <f t="shared" ref="Q62:AB62" si="33">Q60/Q61</f>
        <v>2.7</v>
      </c>
      <c r="R62" s="45">
        <f t="shared" si="33"/>
        <v>2.7</v>
      </c>
      <c r="S62" s="45">
        <f t="shared" si="33"/>
        <v>2.7</v>
      </c>
      <c r="T62" s="45">
        <f t="shared" si="33"/>
        <v>3.25</v>
      </c>
      <c r="U62" s="45">
        <f t="shared" si="33"/>
        <v>3.25</v>
      </c>
      <c r="V62" s="45">
        <f t="shared" si="33"/>
        <v>3.25</v>
      </c>
      <c r="W62" s="45">
        <f t="shared" si="33"/>
        <v>3.8</v>
      </c>
      <c r="X62" s="45">
        <f t="shared" si="33"/>
        <v>3.8</v>
      </c>
      <c r="Y62" s="45">
        <f t="shared" si="33"/>
        <v>3.8</v>
      </c>
      <c r="Z62" s="45">
        <f t="shared" si="33"/>
        <v>4.35</v>
      </c>
      <c r="AA62" s="45">
        <f t="shared" si="33"/>
        <v>4.35</v>
      </c>
      <c r="AB62" s="45">
        <f t="shared" si="33"/>
        <v>4.35</v>
      </c>
    </row>
    <row r="63">
      <c r="B63" s="30" t="s">
        <v>76</v>
      </c>
      <c r="C63" s="29" t="s">
        <v>77</v>
      </c>
      <c r="D63" s="7"/>
      <c r="E63" s="8"/>
      <c r="F63" s="29" t="s">
        <v>78</v>
      </c>
      <c r="G63" s="7"/>
      <c r="H63" s="8"/>
      <c r="I63" s="29" t="s">
        <v>79</v>
      </c>
      <c r="J63" s="7"/>
      <c r="K63" s="8"/>
      <c r="L63" s="29" t="s">
        <v>80</v>
      </c>
      <c r="M63" s="7"/>
      <c r="N63" s="8"/>
    </row>
    <row r="64">
      <c r="B64" s="30" t="s">
        <v>141</v>
      </c>
      <c r="C64" s="13" t="s">
        <v>81</v>
      </c>
      <c r="D64" s="13" t="s">
        <v>82</v>
      </c>
      <c r="E64" s="13" t="s">
        <v>83</v>
      </c>
      <c r="F64" s="13" t="s">
        <v>84</v>
      </c>
      <c r="G64" s="13" t="s">
        <v>85</v>
      </c>
      <c r="H64" s="13" t="s">
        <v>86</v>
      </c>
      <c r="I64" s="13" t="s">
        <v>87</v>
      </c>
      <c r="J64" s="13" t="s">
        <v>88</v>
      </c>
      <c r="K64" s="13" t="s">
        <v>89</v>
      </c>
      <c r="L64" s="13" t="s">
        <v>90</v>
      </c>
      <c r="M64" s="13" t="s">
        <v>91</v>
      </c>
      <c r="N64" s="13" t="s">
        <v>92</v>
      </c>
      <c r="P64" s="30" t="s">
        <v>391</v>
      </c>
      <c r="Q64" s="33">
        <v>0.15</v>
      </c>
      <c r="R64" s="33">
        <v>0.15</v>
      </c>
      <c r="S64" s="33">
        <v>0.15</v>
      </c>
      <c r="T64" s="33">
        <v>0.15</v>
      </c>
      <c r="U64" s="33">
        <v>0.15</v>
      </c>
      <c r="V64" s="33">
        <v>0.15</v>
      </c>
      <c r="W64" s="33">
        <v>0.15</v>
      </c>
      <c r="X64" s="33">
        <v>0.15</v>
      </c>
      <c r="Y64" s="33">
        <v>0.15</v>
      </c>
      <c r="Z64" s="33">
        <v>0.15</v>
      </c>
      <c r="AA64" s="33">
        <v>0.15</v>
      </c>
      <c r="AB64" s="33">
        <v>0.15</v>
      </c>
    </row>
    <row r="65">
      <c r="B65" s="30" t="s">
        <v>422</v>
      </c>
      <c r="C65" s="34">
        <f t="shared" ref="C65:N65" si="34">SUM(C66:C71)</f>
        <v>20000</v>
      </c>
      <c r="D65" s="34">
        <f t="shared" si="34"/>
        <v>20000</v>
      </c>
      <c r="E65" s="34">
        <f t="shared" si="34"/>
        <v>20000</v>
      </c>
      <c r="F65" s="34">
        <f t="shared" si="34"/>
        <v>21000</v>
      </c>
      <c r="G65" s="34">
        <f t="shared" si="34"/>
        <v>21000</v>
      </c>
      <c r="H65" s="34">
        <f t="shared" si="34"/>
        <v>21000</v>
      </c>
      <c r="I65" s="34">
        <f t="shared" si="34"/>
        <v>22000</v>
      </c>
      <c r="J65" s="34">
        <f t="shared" si="34"/>
        <v>22000</v>
      </c>
      <c r="K65" s="34">
        <f t="shared" si="34"/>
        <v>22000</v>
      </c>
      <c r="L65" s="34">
        <f t="shared" si="34"/>
        <v>22000</v>
      </c>
      <c r="M65" s="34">
        <f t="shared" si="34"/>
        <v>22000</v>
      </c>
      <c r="N65" s="34">
        <f t="shared" si="34"/>
        <v>22000</v>
      </c>
      <c r="P65" s="30" t="s">
        <v>423</v>
      </c>
      <c r="Q65" s="35">
        <f t="shared" ref="Q65:AB65" si="35">Q38*Q64</f>
        <v>40500</v>
      </c>
      <c r="R65" s="35">
        <f t="shared" si="35"/>
        <v>40500</v>
      </c>
      <c r="S65" s="35">
        <f t="shared" si="35"/>
        <v>40500</v>
      </c>
      <c r="T65" s="35">
        <f t="shared" si="35"/>
        <v>48750</v>
      </c>
      <c r="U65" s="35">
        <f t="shared" si="35"/>
        <v>48750</v>
      </c>
      <c r="V65" s="35">
        <f t="shared" si="35"/>
        <v>48750</v>
      </c>
      <c r="W65" s="35">
        <f t="shared" si="35"/>
        <v>57000</v>
      </c>
      <c r="X65" s="35">
        <f t="shared" si="35"/>
        <v>57000</v>
      </c>
      <c r="Y65" s="35">
        <f t="shared" si="35"/>
        <v>57000</v>
      </c>
      <c r="Z65" s="35">
        <f t="shared" si="35"/>
        <v>65250</v>
      </c>
      <c r="AA65" s="35">
        <f t="shared" si="35"/>
        <v>65250</v>
      </c>
      <c r="AB65" s="35">
        <f t="shared" si="35"/>
        <v>65250</v>
      </c>
    </row>
    <row r="66">
      <c r="B66" s="30" t="s">
        <v>424</v>
      </c>
      <c r="C66" s="34">
        <v>12000.0</v>
      </c>
      <c r="D66" s="34">
        <v>12000.0</v>
      </c>
      <c r="E66" s="34">
        <v>12000.0</v>
      </c>
      <c r="F66" s="34">
        <v>12000.0</v>
      </c>
      <c r="G66" s="34">
        <v>12000.0</v>
      </c>
      <c r="H66" s="34">
        <v>12000.0</v>
      </c>
      <c r="I66" s="34">
        <v>12000.0</v>
      </c>
      <c r="J66" s="34">
        <v>12000.0</v>
      </c>
      <c r="K66" s="34">
        <v>12000.0</v>
      </c>
      <c r="L66" s="34">
        <v>12000.0</v>
      </c>
      <c r="M66" s="34">
        <v>12000.0</v>
      </c>
      <c r="N66" s="34">
        <v>12000.0</v>
      </c>
      <c r="P66" s="30" t="s">
        <v>392</v>
      </c>
      <c r="Q66" s="35">
        <v>3000.0</v>
      </c>
      <c r="R66" s="34">
        <v>3000.0</v>
      </c>
      <c r="S66" s="34">
        <v>3000.0</v>
      </c>
      <c r="T66" s="34">
        <v>3000.0</v>
      </c>
      <c r="U66" s="34">
        <v>3000.0</v>
      </c>
      <c r="V66" s="34">
        <v>3000.0</v>
      </c>
      <c r="W66" s="34">
        <v>3000.0</v>
      </c>
      <c r="X66" s="34">
        <v>3000.0</v>
      </c>
      <c r="Y66" s="34">
        <v>3000.0</v>
      </c>
      <c r="Z66" s="34">
        <v>3000.0</v>
      </c>
      <c r="AA66" s="34">
        <v>3000.0</v>
      </c>
      <c r="AB66" s="34">
        <v>3000.0</v>
      </c>
    </row>
    <row r="67">
      <c r="B67" s="30" t="s">
        <v>425</v>
      </c>
      <c r="C67" s="34">
        <v>8000.0</v>
      </c>
      <c r="D67" s="34">
        <v>8000.0</v>
      </c>
      <c r="E67" s="34">
        <v>8000.0</v>
      </c>
      <c r="F67" s="34">
        <v>9000.0</v>
      </c>
      <c r="G67" s="34">
        <v>9000.0</v>
      </c>
      <c r="H67" s="34">
        <v>9000.0</v>
      </c>
      <c r="I67" s="34">
        <v>10000.0</v>
      </c>
      <c r="J67" s="34">
        <v>10000.0</v>
      </c>
      <c r="K67" s="34">
        <v>10000.0</v>
      </c>
      <c r="L67" s="34">
        <v>10000.0</v>
      </c>
      <c r="M67" s="34">
        <v>10000.0</v>
      </c>
      <c r="N67" s="34">
        <v>10000.0</v>
      </c>
      <c r="P67" s="30" t="s">
        <v>286</v>
      </c>
      <c r="Q67" s="45">
        <f t="shared" ref="Q67:AB67" si="36">Q65/Q66</f>
        <v>13.5</v>
      </c>
      <c r="R67" s="45">
        <f t="shared" si="36"/>
        <v>13.5</v>
      </c>
      <c r="S67" s="45">
        <f t="shared" si="36"/>
        <v>13.5</v>
      </c>
      <c r="T67" s="45">
        <f t="shared" si="36"/>
        <v>16.25</v>
      </c>
      <c r="U67" s="45">
        <f t="shared" si="36"/>
        <v>16.25</v>
      </c>
      <c r="V67" s="45">
        <f t="shared" si="36"/>
        <v>16.25</v>
      </c>
      <c r="W67" s="45">
        <f t="shared" si="36"/>
        <v>19</v>
      </c>
      <c r="X67" s="45">
        <f t="shared" si="36"/>
        <v>19</v>
      </c>
      <c r="Y67" s="45">
        <f t="shared" si="36"/>
        <v>19</v>
      </c>
      <c r="Z67" s="45">
        <f t="shared" si="36"/>
        <v>21.75</v>
      </c>
      <c r="AA67" s="45">
        <f t="shared" si="36"/>
        <v>21.75</v>
      </c>
      <c r="AB67" s="45">
        <f t="shared" si="36"/>
        <v>21.75</v>
      </c>
    </row>
    <row r="68">
      <c r="B68" s="30" t="s">
        <v>426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>
      <c r="B69" s="54" t="s">
        <v>168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P69" s="30" t="s">
        <v>427</v>
      </c>
      <c r="Q69" s="34">
        <f t="shared" ref="Q69:AB69" si="37">(Q39*Q41)+(Q44*Q46)+(Q51*Q49)+(Q54*Q56)+(Q59*Q61)+(Q64*Q66)</f>
        <v>9840</v>
      </c>
      <c r="R69" s="34">
        <f t="shared" si="37"/>
        <v>9840</v>
      </c>
      <c r="S69" s="34">
        <f t="shared" si="37"/>
        <v>9840</v>
      </c>
      <c r="T69" s="34">
        <f t="shared" si="37"/>
        <v>9840</v>
      </c>
      <c r="U69" s="34">
        <f t="shared" si="37"/>
        <v>9840</v>
      </c>
      <c r="V69" s="34">
        <f t="shared" si="37"/>
        <v>9840</v>
      </c>
      <c r="W69" s="34">
        <f t="shared" si="37"/>
        <v>9840</v>
      </c>
      <c r="X69" s="34">
        <f t="shared" si="37"/>
        <v>9840</v>
      </c>
      <c r="Y69" s="34">
        <f t="shared" si="37"/>
        <v>9840</v>
      </c>
      <c r="Z69" s="34">
        <f t="shared" si="37"/>
        <v>9840</v>
      </c>
      <c r="AA69" s="34">
        <f t="shared" si="37"/>
        <v>9840</v>
      </c>
      <c r="AB69" s="34">
        <f t="shared" si="37"/>
        <v>9840</v>
      </c>
    </row>
    <row r="70">
      <c r="B70" s="54" t="s">
        <v>168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P70" s="30" t="s">
        <v>428</v>
      </c>
      <c r="Q70" s="34">
        <f t="shared" ref="Q70:AB70" si="38">(Q10*Q8)+(Q13*Q15)+(Q19*Q21)+(Q29*Q31)+(Q24*Q26)</f>
        <v>4290</v>
      </c>
      <c r="R70" s="34">
        <f t="shared" si="38"/>
        <v>4290</v>
      </c>
      <c r="S70" s="34">
        <f t="shared" si="38"/>
        <v>4290</v>
      </c>
      <c r="T70" s="34">
        <f t="shared" si="38"/>
        <v>4290</v>
      </c>
      <c r="U70" s="34">
        <f t="shared" si="38"/>
        <v>4290</v>
      </c>
      <c r="V70" s="34">
        <f t="shared" si="38"/>
        <v>4290</v>
      </c>
      <c r="W70" s="34">
        <f t="shared" si="38"/>
        <v>4290</v>
      </c>
      <c r="X70" s="34">
        <f t="shared" si="38"/>
        <v>4290</v>
      </c>
      <c r="Y70" s="34">
        <f t="shared" si="38"/>
        <v>4290</v>
      </c>
      <c r="Z70" s="34">
        <f t="shared" si="38"/>
        <v>4290</v>
      </c>
      <c r="AA70" s="34">
        <f t="shared" si="38"/>
        <v>4290</v>
      </c>
      <c r="AB70" s="34">
        <f t="shared" si="38"/>
        <v>4290</v>
      </c>
    </row>
    <row r="71">
      <c r="B71" s="54" t="s">
        <v>168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P71" s="30" t="s">
        <v>429</v>
      </c>
      <c r="Q71" s="116">
        <v>0.275</v>
      </c>
      <c r="R71" s="116">
        <v>0.275</v>
      </c>
      <c r="S71" s="116">
        <v>0.275</v>
      </c>
      <c r="T71" s="116">
        <v>0.275</v>
      </c>
      <c r="U71" s="116">
        <v>0.275</v>
      </c>
      <c r="V71" s="116">
        <v>0.275</v>
      </c>
      <c r="W71" s="116">
        <v>0.275</v>
      </c>
      <c r="X71" s="116">
        <v>0.275</v>
      </c>
      <c r="Y71" s="116">
        <v>0.275</v>
      </c>
      <c r="Z71" s="116">
        <v>0.275</v>
      </c>
      <c r="AA71" s="116">
        <v>0.275</v>
      </c>
      <c r="AB71" s="116">
        <v>0.275</v>
      </c>
    </row>
    <row r="72">
      <c r="B72" s="2"/>
      <c r="P72" s="30" t="s">
        <v>430</v>
      </c>
      <c r="Q72" s="45">
        <f t="shared" ref="Q72:AB72" si="39">((((Q7/Q70))/Q71)+(((Q38/Q69))/Q71))*0.7</f>
        <v>197.4141897</v>
      </c>
      <c r="R72" s="45">
        <f t="shared" si="39"/>
        <v>197.4141897</v>
      </c>
      <c r="S72" s="45">
        <f t="shared" si="39"/>
        <v>197.4141897</v>
      </c>
      <c r="T72" s="45">
        <f t="shared" si="39"/>
        <v>226.4754831</v>
      </c>
      <c r="U72" s="45">
        <f t="shared" si="39"/>
        <v>226.4754831</v>
      </c>
      <c r="V72" s="45">
        <f t="shared" si="39"/>
        <v>226.4754831</v>
      </c>
      <c r="W72" s="45">
        <f t="shared" si="39"/>
        <v>258.5035068</v>
      </c>
      <c r="X72" s="45">
        <f t="shared" si="39"/>
        <v>258.5035068</v>
      </c>
      <c r="Y72" s="45">
        <f t="shared" si="39"/>
        <v>258.5035068</v>
      </c>
      <c r="Z72" s="45">
        <f t="shared" si="39"/>
        <v>290.5315306</v>
      </c>
      <c r="AA72" s="45">
        <f t="shared" si="39"/>
        <v>290.5315306</v>
      </c>
      <c r="AB72" s="45">
        <f t="shared" si="39"/>
        <v>290.5315306</v>
      </c>
    </row>
    <row r="73">
      <c r="B73" s="59" t="s">
        <v>431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  <c r="P73" s="30" t="s">
        <v>432</v>
      </c>
      <c r="Q73" s="45">
        <f t="shared" ref="Q73:AB73" si="40">Q72/count(C22:C38)</f>
        <v>21.93490996</v>
      </c>
      <c r="R73" s="45">
        <f t="shared" si="40"/>
        <v>21.93490996</v>
      </c>
      <c r="S73" s="45">
        <f t="shared" si="40"/>
        <v>17.94674451</v>
      </c>
      <c r="T73" s="45">
        <f t="shared" si="40"/>
        <v>20.58868028</v>
      </c>
      <c r="U73" s="45">
        <f t="shared" si="40"/>
        <v>20.58868028</v>
      </c>
      <c r="V73" s="45">
        <f t="shared" si="40"/>
        <v>20.58868028</v>
      </c>
      <c r="W73" s="45">
        <f t="shared" si="40"/>
        <v>23.5003188</v>
      </c>
      <c r="X73" s="45">
        <f t="shared" si="40"/>
        <v>21.5419589</v>
      </c>
      <c r="Y73" s="45">
        <f t="shared" si="40"/>
        <v>19.88488514</v>
      </c>
      <c r="Z73" s="45">
        <f t="shared" si="40"/>
        <v>20.75225218</v>
      </c>
      <c r="AA73" s="45">
        <f t="shared" si="40"/>
        <v>20.75225218</v>
      </c>
      <c r="AB73" s="45">
        <f t="shared" si="40"/>
        <v>19.3687687</v>
      </c>
    </row>
    <row r="74">
      <c r="B74" s="30" t="s">
        <v>76</v>
      </c>
      <c r="C74" s="29" t="s">
        <v>77</v>
      </c>
      <c r="D74" s="7"/>
      <c r="E74" s="8"/>
      <c r="F74" s="29" t="s">
        <v>78</v>
      </c>
      <c r="G74" s="7"/>
      <c r="H74" s="8"/>
      <c r="I74" s="29" t="s">
        <v>79</v>
      </c>
      <c r="J74" s="7"/>
      <c r="K74" s="8"/>
      <c r="L74" s="29" t="s">
        <v>80</v>
      </c>
      <c r="M74" s="7"/>
      <c r="N74" s="8"/>
      <c r="P74" s="30" t="s">
        <v>433</v>
      </c>
      <c r="Q74" s="45">
        <f t="shared" ref="Q74:AB74" si="41">Q72/count(C44:C59)</f>
        <v>32.90236494</v>
      </c>
      <c r="R74" s="45">
        <f t="shared" si="41"/>
        <v>28.20202709</v>
      </c>
      <c r="S74" s="45">
        <f t="shared" si="41"/>
        <v>28.20202709</v>
      </c>
      <c r="T74" s="45">
        <f t="shared" si="41"/>
        <v>28.30943539</v>
      </c>
      <c r="U74" s="45">
        <f t="shared" si="41"/>
        <v>28.30943539</v>
      </c>
      <c r="V74" s="45">
        <f t="shared" si="41"/>
        <v>28.30943539</v>
      </c>
      <c r="W74" s="45">
        <f t="shared" si="41"/>
        <v>32.31293836</v>
      </c>
      <c r="X74" s="45">
        <f t="shared" si="41"/>
        <v>32.31293836</v>
      </c>
      <c r="Y74" s="45">
        <f t="shared" si="41"/>
        <v>32.31293836</v>
      </c>
      <c r="Z74" s="45">
        <f t="shared" si="41"/>
        <v>36.31644132</v>
      </c>
      <c r="AA74" s="45">
        <f t="shared" si="41"/>
        <v>36.31644132</v>
      </c>
      <c r="AB74" s="45">
        <f t="shared" si="41"/>
        <v>36.31644132</v>
      </c>
    </row>
    <row r="75">
      <c r="B75" s="30" t="s">
        <v>141</v>
      </c>
      <c r="C75" s="13" t="s">
        <v>81</v>
      </c>
      <c r="D75" s="13" t="s">
        <v>82</v>
      </c>
      <c r="E75" s="13" t="s">
        <v>83</v>
      </c>
      <c r="F75" s="13" t="s">
        <v>84</v>
      </c>
      <c r="G75" s="13" t="s">
        <v>85</v>
      </c>
      <c r="H75" s="13" t="s">
        <v>86</v>
      </c>
      <c r="I75" s="13" t="s">
        <v>87</v>
      </c>
      <c r="J75" s="13" t="s">
        <v>88</v>
      </c>
      <c r="K75" s="13" t="s">
        <v>89</v>
      </c>
      <c r="L75" s="13" t="s">
        <v>90</v>
      </c>
      <c r="M75" s="13" t="s">
        <v>91</v>
      </c>
      <c r="N75" s="13" t="s">
        <v>92</v>
      </c>
      <c r="P75" s="30" t="s">
        <v>434</v>
      </c>
      <c r="Q75" s="35">
        <f t="shared" ref="Q75:AB75" si="42">Q7/count(C44:C59)</f>
        <v>35833.33333</v>
      </c>
      <c r="R75" s="35">
        <f t="shared" si="42"/>
        <v>30714.28571</v>
      </c>
      <c r="S75" s="35">
        <f t="shared" si="42"/>
        <v>30714.28571</v>
      </c>
      <c r="T75" s="35">
        <f t="shared" si="42"/>
        <v>30000</v>
      </c>
      <c r="U75" s="35">
        <f t="shared" si="42"/>
        <v>30000</v>
      </c>
      <c r="V75" s="35">
        <f t="shared" si="42"/>
        <v>30000</v>
      </c>
      <c r="W75" s="35">
        <f t="shared" si="42"/>
        <v>33750</v>
      </c>
      <c r="X75" s="35">
        <f t="shared" si="42"/>
        <v>33750</v>
      </c>
      <c r="Y75" s="35">
        <f t="shared" si="42"/>
        <v>33750</v>
      </c>
      <c r="Z75" s="35">
        <f t="shared" si="42"/>
        <v>37500</v>
      </c>
      <c r="AA75" s="35">
        <f t="shared" si="42"/>
        <v>37500</v>
      </c>
      <c r="AB75" s="35">
        <f t="shared" si="42"/>
        <v>37500</v>
      </c>
    </row>
    <row r="76">
      <c r="B76" s="30" t="s">
        <v>435</v>
      </c>
      <c r="C76" s="34">
        <f t="shared" ref="C76:N76" si="43">SUM(C77:C86)</f>
        <v>23000</v>
      </c>
      <c r="D76" s="34">
        <f t="shared" si="43"/>
        <v>23000</v>
      </c>
      <c r="E76" s="34">
        <f t="shared" si="43"/>
        <v>23000</v>
      </c>
      <c r="F76" s="34">
        <f t="shared" si="43"/>
        <v>33000</v>
      </c>
      <c r="G76" s="34">
        <f t="shared" si="43"/>
        <v>33000</v>
      </c>
      <c r="H76" s="34">
        <f t="shared" si="43"/>
        <v>33000</v>
      </c>
      <c r="I76" s="34">
        <f t="shared" si="43"/>
        <v>37000</v>
      </c>
      <c r="J76" s="34">
        <f t="shared" si="43"/>
        <v>37000</v>
      </c>
      <c r="K76" s="34">
        <f t="shared" si="43"/>
        <v>37000</v>
      </c>
      <c r="L76" s="34">
        <f t="shared" si="43"/>
        <v>39000</v>
      </c>
      <c r="M76" s="34">
        <f t="shared" si="43"/>
        <v>39000</v>
      </c>
      <c r="N76" s="34">
        <f t="shared" si="43"/>
        <v>39000</v>
      </c>
      <c r="P76" s="30" t="s">
        <v>436</v>
      </c>
      <c r="Q76" s="35">
        <f t="shared" ref="Q76:AB76" si="44">Q38/count(C44:C59)</f>
        <v>45000</v>
      </c>
      <c r="R76" s="35">
        <f t="shared" si="44"/>
        <v>38571.42857</v>
      </c>
      <c r="S76" s="35">
        <f t="shared" si="44"/>
        <v>38571.42857</v>
      </c>
      <c r="T76" s="35">
        <f t="shared" si="44"/>
        <v>40625</v>
      </c>
      <c r="U76" s="35">
        <f t="shared" si="44"/>
        <v>40625</v>
      </c>
      <c r="V76" s="35">
        <f t="shared" si="44"/>
        <v>40625</v>
      </c>
      <c r="W76" s="35">
        <f t="shared" si="44"/>
        <v>47500</v>
      </c>
      <c r="X76" s="35">
        <f t="shared" si="44"/>
        <v>47500</v>
      </c>
      <c r="Y76" s="35">
        <f t="shared" si="44"/>
        <v>47500</v>
      </c>
      <c r="Z76" s="35">
        <f t="shared" si="44"/>
        <v>54375</v>
      </c>
      <c r="AA76" s="35">
        <f t="shared" si="44"/>
        <v>54375</v>
      </c>
      <c r="AB76" s="35">
        <f t="shared" si="44"/>
        <v>54375</v>
      </c>
    </row>
    <row r="77">
      <c r="B77" s="60" t="s">
        <v>437</v>
      </c>
      <c r="C77" s="63">
        <v>4000.0</v>
      </c>
      <c r="D77" s="63">
        <v>4000.0</v>
      </c>
      <c r="E77" s="63">
        <v>4000.0</v>
      </c>
      <c r="F77" s="63">
        <v>4500.0</v>
      </c>
      <c r="G77" s="63">
        <v>4500.0</v>
      </c>
      <c r="H77" s="63">
        <v>4500.0</v>
      </c>
      <c r="I77" s="63">
        <v>5000.0</v>
      </c>
      <c r="J77" s="63">
        <v>5000.0</v>
      </c>
      <c r="K77" s="63">
        <v>5000.0</v>
      </c>
      <c r="L77" s="63">
        <v>5500.0</v>
      </c>
      <c r="M77" s="63">
        <v>5500.0</v>
      </c>
      <c r="N77" s="63">
        <v>5500.0</v>
      </c>
    </row>
    <row r="78">
      <c r="B78" s="60" t="s">
        <v>438</v>
      </c>
      <c r="C78" s="63">
        <v>4000.0</v>
      </c>
      <c r="D78" s="63">
        <v>4000.0</v>
      </c>
      <c r="E78" s="63">
        <v>4000.0</v>
      </c>
      <c r="F78" s="63">
        <v>4500.0</v>
      </c>
      <c r="G78" s="63">
        <v>4500.0</v>
      </c>
      <c r="H78" s="63">
        <v>4500.0</v>
      </c>
      <c r="I78" s="63">
        <v>5000.0</v>
      </c>
      <c r="J78" s="63">
        <v>5000.0</v>
      </c>
      <c r="K78" s="63">
        <v>5000.0</v>
      </c>
      <c r="L78" s="63">
        <v>5500.0</v>
      </c>
      <c r="M78" s="63">
        <v>5500.0</v>
      </c>
      <c r="N78" s="63">
        <v>5500.0</v>
      </c>
    </row>
    <row r="79">
      <c r="B79" s="60" t="s">
        <v>439</v>
      </c>
      <c r="C79" s="63">
        <v>3500.0</v>
      </c>
      <c r="D79" s="63">
        <v>3500.0</v>
      </c>
      <c r="E79" s="63">
        <v>3500.0</v>
      </c>
      <c r="F79" s="63">
        <v>4000.0</v>
      </c>
      <c r="G79" s="63">
        <v>4000.0</v>
      </c>
      <c r="H79" s="63">
        <v>4000.0</v>
      </c>
      <c r="I79" s="63">
        <v>4500.0</v>
      </c>
      <c r="J79" s="63">
        <v>4500.0</v>
      </c>
      <c r="K79" s="63">
        <v>4500.0</v>
      </c>
      <c r="L79" s="63">
        <v>5000.0</v>
      </c>
      <c r="M79" s="63">
        <v>5000.0</v>
      </c>
      <c r="N79" s="63">
        <v>5000.0</v>
      </c>
    </row>
    <row r="80">
      <c r="B80" s="60" t="s">
        <v>440</v>
      </c>
      <c r="C80" s="63">
        <v>3500.0</v>
      </c>
      <c r="D80" s="63">
        <v>3500.0</v>
      </c>
      <c r="E80" s="63">
        <v>3500.0</v>
      </c>
      <c r="F80" s="63">
        <v>4000.0</v>
      </c>
      <c r="G80" s="63">
        <v>4000.0</v>
      </c>
      <c r="H80" s="63">
        <v>4000.0</v>
      </c>
      <c r="I80" s="63">
        <v>4000.0</v>
      </c>
      <c r="J80" s="63">
        <v>4000.0</v>
      </c>
      <c r="K80" s="63">
        <v>4000.0</v>
      </c>
      <c r="L80" s="63">
        <v>4500.0</v>
      </c>
      <c r="M80" s="63">
        <v>4500.0</v>
      </c>
      <c r="N80" s="63">
        <v>4500.0</v>
      </c>
    </row>
    <row r="81">
      <c r="B81" s="54" t="s">
        <v>441</v>
      </c>
      <c r="C81" s="63">
        <v>1000.0</v>
      </c>
      <c r="D81" s="63">
        <v>1000.0</v>
      </c>
      <c r="E81" s="63">
        <v>1000.0</v>
      </c>
      <c r="F81" s="63">
        <v>1000.0</v>
      </c>
      <c r="G81" s="63">
        <v>1000.0</v>
      </c>
      <c r="H81" s="63">
        <v>1000.0</v>
      </c>
      <c r="I81" s="63">
        <v>2000.0</v>
      </c>
      <c r="J81" s="63">
        <v>2000.0</v>
      </c>
      <c r="K81" s="63">
        <v>2000.0</v>
      </c>
      <c r="L81" s="63">
        <v>2000.0</v>
      </c>
      <c r="M81" s="63">
        <v>2000.0</v>
      </c>
      <c r="N81" s="63">
        <v>2000.0</v>
      </c>
    </row>
    <row r="82">
      <c r="B82" s="54" t="s">
        <v>442</v>
      </c>
      <c r="C82" s="63">
        <v>3000.0</v>
      </c>
      <c r="D82" s="63">
        <v>3000.0</v>
      </c>
      <c r="E82" s="63">
        <v>3000.0</v>
      </c>
      <c r="F82" s="63">
        <v>3000.0</v>
      </c>
      <c r="G82" s="63">
        <v>3000.0</v>
      </c>
      <c r="H82" s="63">
        <v>3000.0</v>
      </c>
      <c r="I82" s="63">
        <v>4000.0</v>
      </c>
      <c r="J82" s="63">
        <v>4000.0</v>
      </c>
      <c r="K82" s="63">
        <v>4000.0</v>
      </c>
      <c r="L82" s="63">
        <v>4000.0</v>
      </c>
      <c r="M82" s="63">
        <v>4000.0</v>
      </c>
      <c r="N82" s="63">
        <v>4000.0</v>
      </c>
    </row>
    <row r="83">
      <c r="B83" s="54" t="s">
        <v>443</v>
      </c>
      <c r="C83" s="63">
        <v>4000.0</v>
      </c>
      <c r="D83" s="63">
        <v>4000.0</v>
      </c>
      <c r="E83" s="63">
        <v>4000.0</v>
      </c>
      <c r="F83" s="63">
        <v>4500.0</v>
      </c>
      <c r="G83" s="63">
        <v>4500.0</v>
      </c>
      <c r="H83" s="63">
        <v>4500.0</v>
      </c>
      <c r="I83" s="63">
        <v>5000.0</v>
      </c>
      <c r="J83" s="63">
        <v>5000.0</v>
      </c>
      <c r="K83" s="63">
        <v>5000.0</v>
      </c>
      <c r="L83" s="63">
        <v>5000.0</v>
      </c>
      <c r="M83" s="63">
        <v>5000.0</v>
      </c>
      <c r="N83" s="63">
        <v>5000.0</v>
      </c>
    </row>
    <row r="84">
      <c r="B84" s="54" t="s">
        <v>444</v>
      </c>
      <c r="C84" s="63"/>
      <c r="D84" s="63"/>
      <c r="E84" s="63"/>
      <c r="F84" s="63">
        <v>3500.0</v>
      </c>
      <c r="G84" s="63">
        <v>3500.0</v>
      </c>
      <c r="H84" s="63">
        <v>3500.0</v>
      </c>
      <c r="I84" s="63">
        <v>3500.0</v>
      </c>
      <c r="J84" s="63">
        <v>3500.0</v>
      </c>
      <c r="K84" s="63">
        <v>3500.0</v>
      </c>
      <c r="L84" s="63">
        <v>3500.0</v>
      </c>
      <c r="M84" s="63">
        <v>3500.0</v>
      </c>
      <c r="N84" s="63">
        <v>3500.0</v>
      </c>
    </row>
    <row r="85">
      <c r="B85" s="54" t="s">
        <v>445</v>
      </c>
      <c r="C85" s="63"/>
      <c r="D85" s="63"/>
      <c r="E85" s="63"/>
      <c r="F85" s="63">
        <v>4000.0</v>
      </c>
      <c r="G85" s="63">
        <v>4000.0</v>
      </c>
      <c r="H85" s="63">
        <v>4000.0</v>
      </c>
      <c r="I85" s="63">
        <v>4000.0</v>
      </c>
      <c r="J85" s="63">
        <v>4000.0</v>
      </c>
      <c r="K85" s="63">
        <v>4000.0</v>
      </c>
      <c r="L85" s="63">
        <v>4000.0</v>
      </c>
      <c r="M85" s="63">
        <v>4000.0</v>
      </c>
      <c r="N85" s="63">
        <v>4000.0</v>
      </c>
    </row>
    <row r="86">
      <c r="B86" s="54" t="s">
        <v>168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</row>
  </sheetData>
  <mergeCells count="35">
    <mergeCell ref="B2:N2"/>
    <mergeCell ref="P2:AB2"/>
    <mergeCell ref="C3:E3"/>
    <mergeCell ref="F3:H3"/>
    <mergeCell ref="I3:K3"/>
    <mergeCell ref="L3:N3"/>
    <mergeCell ref="Q3:S3"/>
    <mergeCell ref="Z3:AB3"/>
    <mergeCell ref="T3:V3"/>
    <mergeCell ref="W3:Y3"/>
    <mergeCell ref="B18:N18"/>
    <mergeCell ref="C19:E19"/>
    <mergeCell ref="F19:H19"/>
    <mergeCell ref="I19:K19"/>
    <mergeCell ref="L19:N19"/>
    <mergeCell ref="P34:AB34"/>
    <mergeCell ref="Q35:S35"/>
    <mergeCell ref="T35:V35"/>
    <mergeCell ref="W35:Y35"/>
    <mergeCell ref="Z35:AB35"/>
    <mergeCell ref="B40:N40"/>
    <mergeCell ref="C41:E41"/>
    <mergeCell ref="L41:N41"/>
    <mergeCell ref="B73:N73"/>
    <mergeCell ref="C74:E74"/>
    <mergeCell ref="F74:H74"/>
    <mergeCell ref="I74:K74"/>
    <mergeCell ref="L74:N74"/>
    <mergeCell ref="F41:H41"/>
    <mergeCell ref="I41:K41"/>
    <mergeCell ref="B62:N62"/>
    <mergeCell ref="C63:E63"/>
    <mergeCell ref="F63:H63"/>
    <mergeCell ref="I63:K63"/>
    <mergeCell ref="L63:N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6.25"/>
    <col customWidth="1" min="16" max="16" width="5.63"/>
  </cols>
  <sheetData>
    <row r="2">
      <c r="B2" s="48" t="s">
        <v>446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B3" s="12" t="s">
        <v>76</v>
      </c>
      <c r="C3" s="31" t="s">
        <v>447</v>
      </c>
      <c r="D3" s="59" t="s">
        <v>77</v>
      </c>
      <c r="E3" s="7"/>
      <c r="F3" s="8"/>
      <c r="G3" s="59" t="s">
        <v>78</v>
      </c>
      <c r="H3" s="7"/>
      <c r="I3" s="8"/>
      <c r="J3" s="59" t="s">
        <v>79</v>
      </c>
      <c r="K3" s="7"/>
      <c r="L3" s="8"/>
      <c r="M3" s="59" t="s">
        <v>80</v>
      </c>
      <c r="N3" s="7"/>
      <c r="O3" s="8"/>
    </row>
    <row r="4">
      <c r="B4" s="12" t="s">
        <v>141</v>
      </c>
      <c r="C4" s="31" t="s">
        <v>92</v>
      </c>
      <c r="D4" s="31" t="s">
        <v>81</v>
      </c>
      <c r="E4" s="31" t="s">
        <v>82</v>
      </c>
      <c r="F4" s="31" t="s">
        <v>83</v>
      </c>
      <c r="G4" s="31" t="s">
        <v>84</v>
      </c>
      <c r="H4" s="31" t="s">
        <v>85</v>
      </c>
      <c r="I4" s="31" t="s">
        <v>86</v>
      </c>
      <c r="J4" s="31" t="s">
        <v>87</v>
      </c>
      <c r="K4" s="31" t="s">
        <v>88</v>
      </c>
      <c r="L4" s="31" t="s">
        <v>89</v>
      </c>
      <c r="M4" s="31" t="s">
        <v>90</v>
      </c>
      <c r="N4" s="31" t="s">
        <v>91</v>
      </c>
      <c r="O4" s="31" t="s">
        <v>92</v>
      </c>
    </row>
    <row r="5">
      <c r="B5" s="12" t="s">
        <v>448</v>
      </c>
      <c r="C5" s="49">
        <f t="shared" ref="C5:O5" si="1">C7+C12+C17+C27+C22</f>
        <v>1035000</v>
      </c>
      <c r="D5" s="49">
        <f t="shared" si="1"/>
        <v>1156850</v>
      </c>
      <c r="E5" s="49">
        <f t="shared" si="1"/>
        <v>1267733.5</v>
      </c>
      <c r="F5" s="49">
        <f t="shared" si="1"/>
        <v>1368637.485</v>
      </c>
      <c r="G5" s="49">
        <f t="shared" si="1"/>
        <v>1485460.111</v>
      </c>
      <c r="H5" s="49">
        <f t="shared" si="1"/>
        <v>1591768.701</v>
      </c>
      <c r="I5" s="49">
        <f t="shared" si="1"/>
        <v>1688509.518</v>
      </c>
      <c r="J5" s="49">
        <f t="shared" si="1"/>
        <v>1806543.662</v>
      </c>
      <c r="K5" s="49">
        <f t="shared" si="1"/>
        <v>1913954.732</v>
      </c>
      <c r="L5" s="49">
        <f t="shared" si="1"/>
        <v>2011698.806</v>
      </c>
      <c r="M5" s="49">
        <f t="shared" si="1"/>
        <v>2130645.914</v>
      </c>
      <c r="N5" s="49">
        <f t="shared" si="1"/>
        <v>2238887.781</v>
      </c>
      <c r="O5" s="49">
        <f t="shared" si="1"/>
        <v>2337387.881</v>
      </c>
    </row>
    <row r="7">
      <c r="B7" s="30" t="s">
        <v>201</v>
      </c>
      <c r="C7" s="34">
        <v>475000.0</v>
      </c>
      <c r="D7" s="35">
        <f>((1-C10)*C7)+CAC!Q9</f>
        <v>496750</v>
      </c>
      <c r="E7" s="35">
        <f>((1-D10)*D7)+CAC!R9</f>
        <v>516542.5</v>
      </c>
      <c r="F7" s="35">
        <f>((1-E10)*E7)+CAC!S9</f>
        <v>534553.675</v>
      </c>
      <c r="G7" s="35">
        <f>((1-F10)*F7)+CAC!T9</f>
        <v>558443.8443</v>
      </c>
      <c r="H7" s="35">
        <f>((1-G10)*G7)+CAC!U9</f>
        <v>580183.8983</v>
      </c>
      <c r="I7" s="35">
        <f>((1-H10)*H7)+CAC!V9</f>
        <v>599967.3474</v>
      </c>
      <c r="J7" s="35">
        <f>((1-I10)*I7)+CAC!W9</f>
        <v>626970.2862</v>
      </c>
      <c r="K7" s="35">
        <f>((1-J10)*J7)+CAC!X9</f>
        <v>651542.9604</v>
      </c>
      <c r="L7" s="35">
        <f>((1-K10)*K7)+CAC!Y9</f>
        <v>673904.094</v>
      </c>
      <c r="M7" s="35">
        <f>((1-L10)*L7)+CAC!Z9</f>
        <v>703252.7255</v>
      </c>
      <c r="N7" s="35">
        <f>((1-M10)*M7)+CAC!AA9</f>
        <v>729959.9802</v>
      </c>
      <c r="O7" s="35">
        <f>((1-N10)*N7)+CAC!AB9</f>
        <v>754263.582</v>
      </c>
    </row>
    <row r="8">
      <c r="B8" s="30" t="s">
        <v>369</v>
      </c>
      <c r="C8" s="35">
        <f>C7/C9</f>
        <v>2698.863636</v>
      </c>
      <c r="D8" s="35">
        <f>((C8*C9)+(CAC!Q10*CAC!Q11))/(CAC!Q11+C9)</f>
        <v>2731.64557</v>
      </c>
      <c r="E8" s="35">
        <f>((D8*D9)+(CAC!R10*CAC!R11))/(CAC!R11+D9)</f>
        <v>2760.018413</v>
      </c>
      <c r="F8" s="35">
        <f>((E8*E9)+(CAC!S10*CAC!S11))/(CAC!S11+E9)</f>
        <v>2784.746708</v>
      </c>
      <c r="G8" s="35">
        <f>((F8*F9)+(CAC!T10*CAC!T11))/(CAC!T11+F9)</f>
        <v>2808.668421</v>
      </c>
      <c r="H8" s="35">
        <f>((G8*G9)+(CAC!U10*CAC!U11))/(CAC!U11+G9)</f>
        <v>2829.275992</v>
      </c>
      <c r="I8" s="35">
        <f>((H8*H9)+(CAC!V10*CAC!V11))/(CAC!V11+H9)</f>
        <v>2847.163431</v>
      </c>
      <c r="J8" s="35">
        <f>((I8*I9)+(CAC!W10*CAC!W11))/(CAC!W11+I9)</f>
        <v>2864.522121</v>
      </c>
      <c r="K8" s="35">
        <f>((J8*J9)+(CAC!X10*CAC!X11))/(CAC!X11+J9)</f>
        <v>2879.399245</v>
      </c>
      <c r="L8" s="35">
        <f>((K8*K9)+(CAC!Y10*CAC!Y11))/(CAC!Y11+K9)</f>
        <v>2892.255586</v>
      </c>
      <c r="M8" s="35">
        <f>((L8*L9)+(CAC!Z10*CAC!Z11))/(CAC!Z11+L9)</f>
        <v>2904.545685</v>
      </c>
      <c r="N8" s="35">
        <f>((M8*M9)+(CAC!AA10*CAC!AA11))/(CAC!AA11+M9)</f>
        <v>2915.069037</v>
      </c>
      <c r="O8" s="35">
        <f>((N8*N9)+(CAC!AB10*CAC!AB11))/(CAC!AB11+N9)</f>
        <v>2924.155505</v>
      </c>
    </row>
    <row r="9">
      <c r="B9" s="30" t="s">
        <v>202</v>
      </c>
      <c r="C9" s="42">
        <v>176.0</v>
      </c>
      <c r="D9" s="42">
        <f t="shared" ref="D9:O9" si="2">D7/D8</f>
        <v>181.8500927</v>
      </c>
      <c r="E9" s="42">
        <f t="shared" si="2"/>
        <v>187.1518312</v>
      </c>
      <c r="F9" s="42">
        <f t="shared" si="2"/>
        <v>191.9577366</v>
      </c>
      <c r="G9" s="42">
        <f t="shared" si="2"/>
        <v>198.8286834</v>
      </c>
      <c r="H9" s="42">
        <f t="shared" si="2"/>
        <v>205.0644405</v>
      </c>
      <c r="I9" s="42">
        <f t="shared" si="2"/>
        <v>210.7245903</v>
      </c>
      <c r="J9" s="42">
        <f t="shared" si="2"/>
        <v>218.8743043</v>
      </c>
      <c r="K9" s="42">
        <f t="shared" si="2"/>
        <v>226.277395</v>
      </c>
      <c r="L9" s="42">
        <f t="shared" si="2"/>
        <v>233.0029536</v>
      </c>
      <c r="M9" s="42">
        <f t="shared" si="2"/>
        <v>242.1214199</v>
      </c>
      <c r="N9" s="42">
        <f t="shared" si="2"/>
        <v>250.409157</v>
      </c>
      <c r="O9" s="42">
        <f t="shared" si="2"/>
        <v>257.9423634</v>
      </c>
      <c r="Q9" s="31" t="s">
        <v>449</v>
      </c>
    </row>
    <row r="10">
      <c r="B10" s="30" t="s">
        <v>450</v>
      </c>
      <c r="C10" s="33">
        <f t="shared" ref="C10:O10" si="3">$Q$10</f>
        <v>0.09</v>
      </c>
      <c r="D10" s="33">
        <f t="shared" si="3"/>
        <v>0.09</v>
      </c>
      <c r="E10" s="33">
        <f t="shared" si="3"/>
        <v>0.09</v>
      </c>
      <c r="F10" s="33">
        <f t="shared" si="3"/>
        <v>0.09</v>
      </c>
      <c r="G10" s="33">
        <f t="shared" si="3"/>
        <v>0.09</v>
      </c>
      <c r="H10" s="33">
        <f t="shared" si="3"/>
        <v>0.09</v>
      </c>
      <c r="I10" s="33">
        <f t="shared" si="3"/>
        <v>0.09</v>
      </c>
      <c r="J10" s="33">
        <f t="shared" si="3"/>
        <v>0.09</v>
      </c>
      <c r="K10" s="33">
        <f t="shared" si="3"/>
        <v>0.09</v>
      </c>
      <c r="L10" s="33">
        <f t="shared" si="3"/>
        <v>0.09</v>
      </c>
      <c r="M10" s="33">
        <f t="shared" si="3"/>
        <v>0.09</v>
      </c>
      <c r="N10" s="33">
        <f t="shared" si="3"/>
        <v>0.09</v>
      </c>
      <c r="O10" s="33">
        <f t="shared" si="3"/>
        <v>0.09</v>
      </c>
      <c r="Q10" s="117">
        <v>0.09</v>
      </c>
    </row>
    <row r="11">
      <c r="B11" s="2"/>
      <c r="D11" s="36">
        <v>0.15</v>
      </c>
      <c r="E11" s="118">
        <v>0.0769</v>
      </c>
      <c r="F11" s="118">
        <v>0.1571</v>
      </c>
      <c r="G11" s="118">
        <v>0.1121</v>
      </c>
      <c r="H11" s="118">
        <v>0.1263</v>
      </c>
      <c r="I11" s="25"/>
      <c r="J11" s="25"/>
      <c r="K11" s="25"/>
      <c r="L11" s="25"/>
      <c r="M11" s="25"/>
      <c r="N11" s="25"/>
      <c r="O11" s="25"/>
      <c r="Q11" s="119"/>
    </row>
    <row r="12">
      <c r="B12" s="30" t="s">
        <v>243</v>
      </c>
      <c r="C12" s="34">
        <v>223000.0</v>
      </c>
      <c r="D12" s="35">
        <f>((1-C15)*C12)+CAC!Q14</f>
        <v>256680</v>
      </c>
      <c r="E12" s="35">
        <f>((1-D15)*D12)+CAC!R14</f>
        <v>287328.8</v>
      </c>
      <c r="F12" s="35">
        <f>((1-E15)*E12)+CAC!S14</f>
        <v>315219.208</v>
      </c>
      <c r="G12" s="35">
        <f>((1-F15)*F12)+CAC!T14</f>
        <v>346849.4793</v>
      </c>
      <c r="H12" s="35">
        <f>((1-G15)*G12)+CAC!U14</f>
        <v>375633.0261</v>
      </c>
      <c r="I12" s="35">
        <f>((1-H15)*H12)+CAC!V14</f>
        <v>401826.0538</v>
      </c>
      <c r="J12" s="35">
        <f>((1-I15)*I12)+CAC!W14</f>
        <v>433161.709</v>
      </c>
      <c r="K12" s="35">
        <f>((1-J15)*J12)+CAC!X14</f>
        <v>461677.1551</v>
      </c>
      <c r="L12" s="35">
        <f>((1-K15)*K12)+CAC!Y14</f>
        <v>487626.2112</v>
      </c>
      <c r="M12" s="35">
        <f>((1-L15)*L12)+CAC!Z14</f>
        <v>518739.8522</v>
      </c>
      <c r="N12" s="35">
        <f>((1-M15)*M12)+CAC!AA14</f>
        <v>547053.2655</v>
      </c>
      <c r="O12" s="35">
        <f>((1-N15)*N12)+CAC!AB14</f>
        <v>572818.4716</v>
      </c>
      <c r="Q12" s="119"/>
    </row>
    <row r="13">
      <c r="B13" s="30" t="s">
        <v>376</v>
      </c>
      <c r="C13" s="56">
        <f>C12/C14</f>
        <v>4207.54717</v>
      </c>
      <c r="D13" s="56">
        <f>((C13*C14)+(CAC!Q15*CAC!Q16))/(CAC!Q16+C14)</f>
        <v>4341.176471</v>
      </c>
      <c r="E13" s="56">
        <f>((D13*D14)+(CAC!R15*CAC!R16))/(CAC!R16+D14)</f>
        <v>4442.531283</v>
      </c>
      <c r="F13" s="56">
        <f>((E13*E14)+(CAC!S15*CAC!S16))/(CAC!S16+E14)</f>
        <v>4521.982977</v>
      </c>
      <c r="G13" s="56">
        <f>((F13*F14)+(CAC!T15*CAC!T16))/(CAC!T16+F14)</f>
        <v>4592.186526</v>
      </c>
      <c r="H13" s="56">
        <f>((G13*G14)+(CAC!U15*CAC!U16))/(CAC!U16+G14)</f>
        <v>4648.095835</v>
      </c>
      <c r="I13" s="56">
        <f>((H13*H14)+(CAC!V15*CAC!V16))/(CAC!V16+H14)</f>
        <v>4693.593629</v>
      </c>
      <c r="J13" s="56">
        <f>((I13*I14)+(CAC!W15*CAC!W16))/(CAC!W16+I14)</f>
        <v>4735.32927</v>
      </c>
      <c r="K13" s="56">
        <f>((J13*J14)+(CAC!X15*CAC!X16))/(CAC!X16+J14)</f>
        <v>4769.366641</v>
      </c>
      <c r="L13" s="56">
        <f>((K13*K14)+(CAC!Y15*CAC!Y16))/(CAC!Y16+K14)</f>
        <v>4797.594527</v>
      </c>
      <c r="M13" s="56">
        <f>((L13*L14)+(CAC!Z15*CAC!Z16))/(CAC!Z16+L14)</f>
        <v>4823.624097</v>
      </c>
      <c r="N13" s="56">
        <f>((M13*M14)+(CAC!AA15*CAC!AA16))/(CAC!AA16+M14)</f>
        <v>4845.21383</v>
      </c>
      <c r="O13" s="56">
        <f>((N13*N14)+(CAC!AB15*CAC!AB16))/(CAC!AB16+N14)</f>
        <v>4863.366178</v>
      </c>
      <c r="Q13" s="119"/>
    </row>
    <row r="14">
      <c r="B14" s="30" t="s">
        <v>244</v>
      </c>
      <c r="C14" s="42">
        <v>53.0</v>
      </c>
      <c r="D14" s="42">
        <f t="shared" ref="D14:O14" si="4">D12/D13</f>
        <v>59.12682927</v>
      </c>
      <c r="E14" s="42">
        <f t="shared" si="4"/>
        <v>64.67682087</v>
      </c>
      <c r="F14" s="42">
        <f t="shared" si="4"/>
        <v>69.70818103</v>
      </c>
      <c r="G14" s="42">
        <f t="shared" si="4"/>
        <v>75.53035516</v>
      </c>
      <c r="H14" s="42">
        <f t="shared" si="4"/>
        <v>80.81438926</v>
      </c>
      <c r="I14" s="42">
        <f t="shared" si="4"/>
        <v>85.6115986</v>
      </c>
      <c r="J14" s="42">
        <f t="shared" si="4"/>
        <v>91.47446446</v>
      </c>
      <c r="K14" s="42">
        <f t="shared" si="4"/>
        <v>96.80051669</v>
      </c>
      <c r="L14" s="42">
        <f t="shared" si="4"/>
        <v>101.6397298</v>
      </c>
      <c r="M14" s="42">
        <f t="shared" si="4"/>
        <v>107.5415169</v>
      </c>
      <c r="N14" s="42">
        <f t="shared" si="4"/>
        <v>112.9059077</v>
      </c>
      <c r="O14" s="42">
        <f t="shared" si="4"/>
        <v>117.7823036</v>
      </c>
      <c r="Q14" s="31" t="s">
        <v>449</v>
      </c>
    </row>
    <row r="15">
      <c r="B15" s="30" t="s">
        <v>451</v>
      </c>
      <c r="C15" s="33">
        <f t="shared" ref="C15:O15" si="5">$Q$15</f>
        <v>0.09</v>
      </c>
      <c r="D15" s="33">
        <f t="shared" si="5"/>
        <v>0.09</v>
      </c>
      <c r="E15" s="33">
        <f t="shared" si="5"/>
        <v>0.09</v>
      </c>
      <c r="F15" s="33">
        <f t="shared" si="5"/>
        <v>0.09</v>
      </c>
      <c r="G15" s="33">
        <f t="shared" si="5"/>
        <v>0.09</v>
      </c>
      <c r="H15" s="33">
        <f t="shared" si="5"/>
        <v>0.09</v>
      </c>
      <c r="I15" s="33">
        <f t="shared" si="5"/>
        <v>0.09</v>
      </c>
      <c r="J15" s="33">
        <f t="shared" si="5"/>
        <v>0.09</v>
      </c>
      <c r="K15" s="33">
        <f t="shared" si="5"/>
        <v>0.09</v>
      </c>
      <c r="L15" s="33">
        <f t="shared" si="5"/>
        <v>0.09</v>
      </c>
      <c r="M15" s="33">
        <f t="shared" si="5"/>
        <v>0.09</v>
      </c>
      <c r="N15" s="33">
        <f t="shared" si="5"/>
        <v>0.09</v>
      </c>
      <c r="O15" s="33">
        <f t="shared" si="5"/>
        <v>0.09</v>
      </c>
      <c r="Q15" s="117">
        <v>0.09</v>
      </c>
    </row>
    <row r="16">
      <c r="C16" s="120"/>
      <c r="D16" s="120"/>
      <c r="E16" s="120"/>
      <c r="Q16" s="119"/>
    </row>
    <row r="17">
      <c r="B17" s="30" t="s">
        <v>261</v>
      </c>
      <c r="C17" s="34">
        <v>180000.0</v>
      </c>
      <c r="D17" s="35">
        <f>((1-C20)*C17)+CAC!Q20</f>
        <v>206800</v>
      </c>
      <c r="E17" s="35">
        <f>((1-E20)*D17)+CAC!R20</f>
        <v>231188</v>
      </c>
      <c r="F17" s="35">
        <f>((1-F20)*E17)+CAC!S20</f>
        <v>253381.08</v>
      </c>
      <c r="G17" s="35">
        <f>((1-G20)*F17)+CAC!T20</f>
        <v>278576.7828</v>
      </c>
      <c r="H17" s="35">
        <f>((1-H20)*G17)+CAC!U20</f>
        <v>301504.8723</v>
      </c>
      <c r="I17" s="35">
        <f>((1-I20)*H17)+CAC!V20</f>
        <v>322369.4338</v>
      </c>
      <c r="J17" s="35">
        <f>((1-J20)*I17)+CAC!W20</f>
        <v>347356.1848</v>
      </c>
      <c r="K17" s="35">
        <f>((1-K20)*J17)+CAC!X20</f>
        <v>370094.1282</v>
      </c>
      <c r="L17" s="35">
        <f>((1-L20)*K17)+CAC!Y20</f>
        <v>390785.6566</v>
      </c>
      <c r="M17" s="35">
        <f>((1-M20)*L17)+CAC!Z20</f>
        <v>415614.9475</v>
      </c>
      <c r="N17" s="35">
        <f>((1-N20)*M17)+CAC!AA20</f>
        <v>438209.6023</v>
      </c>
      <c r="O17" s="35">
        <f>((1-O20)*N17)+CAC!AB20</f>
        <v>458770.738</v>
      </c>
      <c r="Q17" s="119"/>
    </row>
    <row r="18">
      <c r="B18" s="30" t="s">
        <v>380</v>
      </c>
      <c r="C18" s="80">
        <f>C17/C19</f>
        <v>2117.647059</v>
      </c>
      <c r="D18" s="80">
        <f>((C18*C19)+(CAC!Q21*CAC!Q22))/(CAC!Q22+C19)</f>
        <v>2150.524109</v>
      </c>
      <c r="E18" s="80">
        <f>((D18*D19)+(CAC!R21*CAC!R22))/(CAC!R22+D19)</f>
        <v>2174.854526</v>
      </c>
      <c r="F18" s="80">
        <f>((E18*E19)+(CAC!S21*CAC!S22))/(CAC!S22+E19)</f>
        <v>2193.572521</v>
      </c>
      <c r="G18" s="80">
        <f>((F18*F19)+(CAC!T21*CAC!T22))/(CAC!T22+F19)</f>
        <v>2209.858567</v>
      </c>
      <c r="H18" s="80">
        <f>((G18*G19)+(CAC!U21*CAC!U22))/(CAC!U22+G19)</f>
        <v>2222.661987</v>
      </c>
      <c r="I18" s="80">
        <f>((H18*H19)+(CAC!V21*CAC!V22))/(CAC!V22+H19)</f>
        <v>2232.973842</v>
      </c>
      <c r="J18" s="80">
        <f>((I18*I19)+(CAC!W21*CAC!W22))/(CAC!W22+I19)</f>
        <v>2242.349445</v>
      </c>
      <c r="K18" s="80">
        <f>((J18*J19)+(CAC!X21*CAC!X22))/(CAC!X22+J19)</f>
        <v>2249.937139</v>
      </c>
      <c r="L18" s="80">
        <f>((K18*K19)+(CAC!Y21*CAC!Y22))/(CAC!Y22+K19)</f>
        <v>2256.190235</v>
      </c>
      <c r="M18" s="80">
        <f>((L18*L19)+(CAC!Z21*CAC!Z22))/(CAC!Z22+L19)</f>
        <v>2261.924825</v>
      </c>
      <c r="N18" s="80">
        <f>((M18*M19)+(CAC!AA21*CAC!AA22))/(CAC!AA22+M19)</f>
        <v>2266.658473</v>
      </c>
      <c r="O18" s="80">
        <f>((N18*N19)+(CAC!AB21*CAC!AB22))/(CAC!AB22+N19)</f>
        <v>2270.622547</v>
      </c>
      <c r="Q18" s="119"/>
    </row>
    <row r="19">
      <c r="B19" s="30" t="s">
        <v>262</v>
      </c>
      <c r="C19" s="42">
        <v>85.0</v>
      </c>
      <c r="D19" s="42">
        <f t="shared" ref="D19:O19" si="6">D17/D18</f>
        <v>96.1626048</v>
      </c>
      <c r="E19" s="42">
        <f t="shared" si="6"/>
        <v>106.3004432</v>
      </c>
      <c r="F19" s="42">
        <f t="shared" si="6"/>
        <v>115.5106921</v>
      </c>
      <c r="G19" s="42">
        <f t="shared" si="6"/>
        <v>126.0609104</v>
      </c>
      <c r="H19" s="42">
        <f t="shared" si="6"/>
        <v>135.6503482</v>
      </c>
      <c r="I19" s="42">
        <f t="shared" si="6"/>
        <v>144.367761</v>
      </c>
      <c r="J19" s="42">
        <f t="shared" si="6"/>
        <v>154.9072494</v>
      </c>
      <c r="K19" s="42">
        <f t="shared" si="6"/>
        <v>164.4908747</v>
      </c>
      <c r="L19" s="42">
        <f t="shared" si="6"/>
        <v>173.2059871</v>
      </c>
      <c r="M19" s="42">
        <f t="shared" si="6"/>
        <v>183.7439259</v>
      </c>
      <c r="N19" s="42">
        <f t="shared" si="6"/>
        <v>193.3284646</v>
      </c>
      <c r="O19" s="42">
        <f t="shared" si="6"/>
        <v>202.0462356</v>
      </c>
      <c r="Q19" s="31" t="s">
        <v>449</v>
      </c>
    </row>
    <row r="20">
      <c r="B20" s="30" t="s">
        <v>452</v>
      </c>
      <c r="C20" s="33">
        <f t="shared" ref="C20:O20" si="7">$Q$20</f>
        <v>0.09</v>
      </c>
      <c r="D20" s="33">
        <f t="shared" si="7"/>
        <v>0.09</v>
      </c>
      <c r="E20" s="33">
        <f t="shared" si="7"/>
        <v>0.09</v>
      </c>
      <c r="F20" s="33">
        <f t="shared" si="7"/>
        <v>0.09</v>
      </c>
      <c r="G20" s="33">
        <f t="shared" si="7"/>
        <v>0.09</v>
      </c>
      <c r="H20" s="33">
        <f t="shared" si="7"/>
        <v>0.09</v>
      </c>
      <c r="I20" s="33">
        <f t="shared" si="7"/>
        <v>0.09</v>
      </c>
      <c r="J20" s="33">
        <f t="shared" si="7"/>
        <v>0.09</v>
      </c>
      <c r="K20" s="33">
        <f t="shared" si="7"/>
        <v>0.09</v>
      </c>
      <c r="L20" s="33">
        <f t="shared" si="7"/>
        <v>0.09</v>
      </c>
      <c r="M20" s="33">
        <f t="shared" si="7"/>
        <v>0.09</v>
      </c>
      <c r="N20" s="33">
        <f t="shared" si="7"/>
        <v>0.09</v>
      </c>
      <c r="O20" s="33">
        <f t="shared" si="7"/>
        <v>0.09</v>
      </c>
      <c r="Q20" s="117">
        <v>0.09</v>
      </c>
    </row>
    <row r="21">
      <c r="Q21" s="119"/>
    </row>
    <row r="22">
      <c r="B22" s="30" t="s">
        <v>280</v>
      </c>
      <c r="C22" s="34">
        <v>80000.0</v>
      </c>
      <c r="D22" s="35">
        <f>(((1-C25)*C22))+CAC!Q25</f>
        <v>105050</v>
      </c>
      <c r="E22" s="35">
        <f>(((1-D25)*D22))+CAC!R25</f>
        <v>127845.5</v>
      </c>
      <c r="F22" s="35">
        <f>(((1-E25)*E22))+CAC!S25</f>
        <v>148589.405</v>
      </c>
      <c r="G22" s="35">
        <f>(((1-F25)*F22))+CAC!T25</f>
        <v>171216.3586</v>
      </c>
      <c r="H22" s="35">
        <f>(((1-G25)*G22))+CAC!U25</f>
        <v>191806.8863</v>
      </c>
      <c r="I22" s="35">
        <f>(((1-H25)*H22))+CAC!V25</f>
        <v>210544.2665</v>
      </c>
      <c r="J22" s="35">
        <f>(((1-I25)*I22))+CAC!W25</f>
        <v>232095.2825</v>
      </c>
      <c r="K22" s="35">
        <f>(((1-J25)*J22))+CAC!X25</f>
        <v>251706.7071</v>
      </c>
      <c r="L22" s="35">
        <f>(((1-K25)*K22))+CAC!Y25</f>
        <v>269553.1035</v>
      </c>
      <c r="M22" s="35">
        <f>(((1-L25)*L22))+CAC!Z25</f>
        <v>290293.3242</v>
      </c>
      <c r="N22" s="35">
        <f>(((1-M25)*M22))+CAC!AA25</f>
        <v>309166.925</v>
      </c>
      <c r="O22" s="35">
        <f>(((1-N25)*N22))+CAC!AB25</f>
        <v>326341.9017</v>
      </c>
      <c r="Q22" s="119"/>
    </row>
    <row r="23">
      <c r="B23" s="30" t="s">
        <v>387</v>
      </c>
      <c r="C23" s="80">
        <f>C22/C24</f>
        <v>7272.727273</v>
      </c>
      <c r="D23" s="80">
        <f>((C23*C24)+(CAC!Q27*CAC!Q26))/(CAC!Q27+C24)</f>
        <v>7891.036907</v>
      </c>
      <c r="E23" s="80">
        <f>((D23*D24)+(CAC!R27*CAC!R26))/(CAC!R27+D24)</f>
        <v>8302.306821</v>
      </c>
      <c r="F23" s="80">
        <f>((E23*E24)+(CAC!S27*CAC!S26))/(CAC!S27+E24)</f>
        <v>8596.288861</v>
      </c>
      <c r="G23" s="80">
        <f>((F23*F24)+(CAC!T27*CAC!T26))/(CAC!T27+F24)</f>
        <v>8838.246642</v>
      </c>
      <c r="H23" s="80">
        <f>((G23*G24)+(CAC!U27*CAC!U26))/(CAC!U27+G24)</f>
        <v>9020.306284</v>
      </c>
      <c r="I23" s="80">
        <f>((H23*H24)+(CAC!V27*CAC!V26))/(CAC!V27+H24)</f>
        <v>9162.154403</v>
      </c>
      <c r="J23" s="80">
        <f>((I23*I24)+(CAC!W27*CAC!W26))/(CAC!W27+I24)</f>
        <v>9287.692792</v>
      </c>
      <c r="K23" s="80">
        <f>((J23*J24)+(CAC!X27*CAC!X26))/(CAC!X27+J24)</f>
        <v>9387.034689</v>
      </c>
      <c r="L23" s="80">
        <f>((K23*K24)+(CAC!Y27*CAC!Y26))/(CAC!Y27+K24)</f>
        <v>9467.467746</v>
      </c>
      <c r="M23" s="80">
        <f>((L23*L24)+(CAC!Z27*CAC!Z26))/(CAC!Z27+L24)</f>
        <v>9540.148528</v>
      </c>
      <c r="N23" s="80">
        <f>((M23*M24)+(CAC!AA27*CAC!AA26))/(CAC!AA27+M24)</f>
        <v>9599.393155</v>
      </c>
      <c r="O23" s="80">
        <f>((N23*N24)+(CAC!AB27*CAC!AB26))/(CAC!AB27+N24)</f>
        <v>9648.50462</v>
      </c>
      <c r="Q23" s="119"/>
    </row>
    <row r="24">
      <c r="B24" s="30" t="s">
        <v>281</v>
      </c>
      <c r="C24" s="42">
        <v>11.0</v>
      </c>
      <c r="D24" s="42">
        <f t="shared" ref="D24:O24" si="8">D22/D23</f>
        <v>13.31257238</v>
      </c>
      <c r="E24" s="42">
        <f t="shared" si="8"/>
        <v>15.3987925</v>
      </c>
      <c r="F24" s="42">
        <f t="shared" si="8"/>
        <v>17.28529688</v>
      </c>
      <c r="G24" s="42">
        <f t="shared" si="8"/>
        <v>19.37220871</v>
      </c>
      <c r="H24" s="42">
        <f t="shared" si="8"/>
        <v>21.2638995</v>
      </c>
      <c r="I24" s="42">
        <f t="shared" si="8"/>
        <v>22.97977716</v>
      </c>
      <c r="J24" s="42">
        <f t="shared" si="8"/>
        <v>24.98955206</v>
      </c>
      <c r="K24" s="42">
        <f t="shared" si="8"/>
        <v>26.81429391</v>
      </c>
      <c r="L24" s="42">
        <f t="shared" si="8"/>
        <v>28.47151009</v>
      </c>
      <c r="M24" s="42">
        <f t="shared" si="8"/>
        <v>30.42859588</v>
      </c>
      <c r="N24" s="42">
        <f t="shared" si="8"/>
        <v>32.20692392</v>
      </c>
      <c r="O24" s="42">
        <f t="shared" si="8"/>
        <v>33.82305493</v>
      </c>
      <c r="Q24" s="31" t="s">
        <v>449</v>
      </c>
    </row>
    <row r="25">
      <c r="B25" s="30" t="s">
        <v>453</v>
      </c>
      <c r="C25" s="33">
        <f t="shared" ref="C25:O25" si="9">$Q$25</f>
        <v>0.09</v>
      </c>
      <c r="D25" s="33">
        <f t="shared" si="9"/>
        <v>0.09</v>
      </c>
      <c r="E25" s="33">
        <f t="shared" si="9"/>
        <v>0.09</v>
      </c>
      <c r="F25" s="33">
        <f t="shared" si="9"/>
        <v>0.09</v>
      </c>
      <c r="G25" s="33">
        <f t="shared" si="9"/>
        <v>0.09</v>
      </c>
      <c r="H25" s="33">
        <f t="shared" si="9"/>
        <v>0.09</v>
      </c>
      <c r="I25" s="33">
        <f t="shared" si="9"/>
        <v>0.09</v>
      </c>
      <c r="J25" s="33">
        <f t="shared" si="9"/>
        <v>0.09</v>
      </c>
      <c r="K25" s="33">
        <f t="shared" si="9"/>
        <v>0.09</v>
      </c>
      <c r="L25" s="33">
        <f t="shared" si="9"/>
        <v>0.09</v>
      </c>
      <c r="M25" s="33">
        <f t="shared" si="9"/>
        <v>0.09</v>
      </c>
      <c r="N25" s="33">
        <f t="shared" si="9"/>
        <v>0.09</v>
      </c>
      <c r="O25" s="33">
        <f t="shared" si="9"/>
        <v>0.09</v>
      </c>
      <c r="Q25" s="117">
        <v>0.09</v>
      </c>
    </row>
    <row r="26">
      <c r="Q26" s="119"/>
    </row>
    <row r="27">
      <c r="B27" s="30" t="s">
        <v>285</v>
      </c>
      <c r="C27" s="34">
        <v>77000.0</v>
      </c>
      <c r="D27" s="35">
        <f>((1-C30)*C27)+CAC!Q30</f>
        <v>91570</v>
      </c>
      <c r="E27" s="35">
        <f>((1-D30)*D27)+CAC!R30</f>
        <v>104828.7</v>
      </c>
      <c r="F27" s="35">
        <f>((1-E30)*E27)+CAC!S30</f>
        <v>116894.117</v>
      </c>
      <c r="G27" s="35">
        <f>((1-F30)*F27)+CAC!T30</f>
        <v>130373.6465</v>
      </c>
      <c r="H27" s="35">
        <f>((1-G30)*G27)+CAC!U30</f>
        <v>142640.0183</v>
      </c>
      <c r="I27" s="35">
        <f>((1-H30)*H27)+CAC!V30</f>
        <v>153802.4166</v>
      </c>
      <c r="J27" s="35">
        <f>((1-I30)*I27)+CAC!W30</f>
        <v>166960.1991</v>
      </c>
      <c r="K27" s="35">
        <f>((1-J30)*J27)+CAC!X30</f>
        <v>178933.7812</v>
      </c>
      <c r="L27" s="35">
        <f>((1-K30)*K27)+CAC!Y30</f>
        <v>189829.7409</v>
      </c>
      <c r="M27" s="35">
        <f>((1-L30)*L27)+CAC!Z30</f>
        <v>202745.0642</v>
      </c>
      <c r="N27" s="35">
        <f>((1-M30)*M27)+CAC!AA30</f>
        <v>214498.0084</v>
      </c>
      <c r="O27" s="35">
        <f>((1-N30)*N27)+CAC!AB30</f>
        <v>225193.1877</v>
      </c>
      <c r="Q27" s="119"/>
    </row>
    <row r="28">
      <c r="B28" s="30" t="s">
        <v>392</v>
      </c>
      <c r="C28" s="35">
        <f>C27/C29</f>
        <v>1571.428571</v>
      </c>
      <c r="D28" s="35">
        <f>((C28*C29)+(CAC!Q31*CAC!Q32))/(CAC!Q32+C29)</f>
        <v>1616.226071</v>
      </c>
      <c r="E28" s="35">
        <f>((D28*D29)+(CAC!R31*CAC!R32))/(CAC!R32+D29)</f>
        <v>1648.223762</v>
      </c>
      <c r="F28" s="35">
        <f>((E28*E29)+(CAC!S31*CAC!S32))/(CAC!S32+E29)</f>
        <v>1672.221007</v>
      </c>
      <c r="G28" s="35">
        <f>((F28*F29)+(CAC!T31*CAC!T32))/(CAC!T32+F29)</f>
        <v>1692.689346</v>
      </c>
      <c r="H28" s="35">
        <f>((G28*G29)+(CAC!U31*CAC!U32))/(CAC!U32+G29)</f>
        <v>1708.52477</v>
      </c>
      <c r="I28" s="35">
        <f>((H28*H29)+(CAC!V31*CAC!V32))/(CAC!V32+H29)</f>
        <v>1721.121986</v>
      </c>
      <c r="J28" s="35">
        <f>((I28*I29)+(CAC!W31*CAC!W32))/(CAC!W32+I29)</f>
        <v>1732.459191</v>
      </c>
      <c r="K28" s="35">
        <f>((J28*J29)+(CAC!X31*CAC!X32))/(CAC!X32+J29)</f>
        <v>1741.555859</v>
      </c>
      <c r="L28" s="35">
        <f>((K28*K29)+(CAC!Y31*CAC!Y32))/(CAC!Y32+K29)</f>
        <v>1749.001375</v>
      </c>
      <c r="M28" s="35">
        <f>((L28*L29)+(CAC!Z31*CAC!Z32))/(CAC!Z32+L29)</f>
        <v>1755.79018</v>
      </c>
      <c r="N28" s="35">
        <f>((M28*M29)+(CAC!AA31*CAC!AA32))/(CAC!AA32+M29)</f>
        <v>1761.366359</v>
      </c>
      <c r="O28" s="35">
        <f>((N28*N29)+(CAC!AB31*CAC!AB32))/(CAC!AB32+N29)</f>
        <v>1766.017227</v>
      </c>
      <c r="Q28" s="119"/>
    </row>
    <row r="29">
      <c r="B29" s="30" t="s">
        <v>286</v>
      </c>
      <c r="C29" s="42">
        <f>22+3+8+5+11</f>
        <v>49</v>
      </c>
      <c r="D29" s="45">
        <f t="shared" ref="D29:O29" si="10">D27/D28</f>
        <v>56.65667795</v>
      </c>
      <c r="E29" s="45">
        <f t="shared" si="10"/>
        <v>63.60101246</v>
      </c>
      <c r="F29" s="45">
        <f t="shared" si="10"/>
        <v>69.90350948</v>
      </c>
      <c r="G29" s="45">
        <f t="shared" si="10"/>
        <v>77.02160281</v>
      </c>
      <c r="H29" s="45">
        <f t="shared" si="10"/>
        <v>83.48724047</v>
      </c>
      <c r="I29" s="45">
        <f t="shared" si="10"/>
        <v>89.36171746</v>
      </c>
      <c r="J29" s="45">
        <f t="shared" si="10"/>
        <v>96.37179333</v>
      </c>
      <c r="K29" s="45">
        <f t="shared" si="10"/>
        <v>102.743636</v>
      </c>
      <c r="L29" s="45">
        <f t="shared" si="10"/>
        <v>108.536073</v>
      </c>
      <c r="M29" s="45">
        <f t="shared" si="10"/>
        <v>115.4722623</v>
      </c>
      <c r="N29" s="45">
        <f t="shared" si="10"/>
        <v>121.7793262</v>
      </c>
      <c r="O29" s="45">
        <f t="shared" si="10"/>
        <v>127.5147174</v>
      </c>
      <c r="Q29" s="31" t="s">
        <v>449</v>
      </c>
    </row>
    <row r="30">
      <c r="B30" s="30" t="s">
        <v>454</v>
      </c>
      <c r="C30" s="33">
        <f t="shared" ref="C30:O30" si="11">$Q$30</f>
        <v>0.09</v>
      </c>
      <c r="D30" s="33">
        <f t="shared" si="11"/>
        <v>0.09</v>
      </c>
      <c r="E30" s="33">
        <f t="shared" si="11"/>
        <v>0.09</v>
      </c>
      <c r="F30" s="33">
        <f t="shared" si="11"/>
        <v>0.09</v>
      </c>
      <c r="G30" s="33">
        <f t="shared" si="11"/>
        <v>0.09</v>
      </c>
      <c r="H30" s="33">
        <f t="shared" si="11"/>
        <v>0.09</v>
      </c>
      <c r="I30" s="33">
        <f t="shared" si="11"/>
        <v>0.09</v>
      </c>
      <c r="J30" s="33">
        <f t="shared" si="11"/>
        <v>0.09</v>
      </c>
      <c r="K30" s="33">
        <f t="shared" si="11"/>
        <v>0.09</v>
      </c>
      <c r="L30" s="33">
        <f t="shared" si="11"/>
        <v>0.09</v>
      </c>
      <c r="M30" s="33">
        <f t="shared" si="11"/>
        <v>0.09</v>
      </c>
      <c r="N30" s="33">
        <f t="shared" si="11"/>
        <v>0.09</v>
      </c>
      <c r="O30" s="33">
        <f t="shared" si="11"/>
        <v>0.09</v>
      </c>
      <c r="Q30" s="117">
        <v>0.09</v>
      </c>
    </row>
    <row r="31">
      <c r="Q31" s="119"/>
    </row>
    <row r="32">
      <c r="B32" s="12" t="s">
        <v>455</v>
      </c>
      <c r="C32" s="37">
        <f>(Revenue!C7*Revenue!C10)+(Revenue!C12*Revenue!C15)+(Revenue!C17*Revenue!C20)+(Revenue!C22*Revenue!C25)+(Revenue!C27*Revenue!C30)</f>
        <v>93150</v>
      </c>
      <c r="D32" s="37">
        <f>(Revenue!D7*Revenue!D10)+(Revenue!D12*Revenue!D15)+(Revenue!D17*Revenue!D20)+(Revenue!D22*Revenue!D25)+(Revenue!D27*Revenue!D30)</f>
        <v>104116.5</v>
      </c>
      <c r="E32" s="37">
        <f>(Revenue!E7*Revenue!E10)+(Revenue!E12*Revenue!E15)+(Revenue!E17*Revenue!E20)+(Revenue!E22*Revenue!E25)+(Revenue!E27*Revenue!E30)</f>
        <v>114096.015</v>
      </c>
      <c r="F32" s="37">
        <f>(Revenue!F7*Revenue!F10)+(Revenue!F12*Revenue!F15)+(Revenue!F17*Revenue!F20)+(Revenue!F22*Revenue!F25)+(Revenue!F27*Revenue!F30)</f>
        <v>123177.3737</v>
      </c>
      <c r="G32" s="37">
        <f>(Revenue!G7*Revenue!G10)+(Revenue!G12*Revenue!G15)+(Revenue!G17*Revenue!G20)+(Revenue!G22*Revenue!G25)+(Revenue!G27*Revenue!G30)</f>
        <v>133691.41</v>
      </c>
      <c r="H32" s="37">
        <f>(Revenue!H7*Revenue!H10)+(Revenue!H12*Revenue!H15)+(Revenue!H17*Revenue!H20)+(Revenue!H22*Revenue!H25)+(Revenue!H27*Revenue!H30)</f>
        <v>143259.1831</v>
      </c>
      <c r="I32" s="37">
        <f>(Revenue!I7*Revenue!I10)+(Revenue!I12*Revenue!I15)+(Revenue!I17*Revenue!I20)+(Revenue!I22*Revenue!I25)+(Revenue!I27*Revenue!I30)</f>
        <v>151965.8566</v>
      </c>
      <c r="J32" s="37">
        <f>(Revenue!J7*Revenue!J10)+(Revenue!J12*Revenue!J15)+(Revenue!J17*Revenue!J20)+(Revenue!J22*Revenue!J25)+(Revenue!J27*Revenue!J30)</f>
        <v>162588.9295</v>
      </c>
      <c r="K32" s="37">
        <f>(Revenue!K7*Revenue!K10)+(Revenue!K12*Revenue!K15)+(Revenue!K17*Revenue!K20)+(Revenue!K22*Revenue!K25)+(Revenue!K27*Revenue!K30)</f>
        <v>172255.9259</v>
      </c>
      <c r="L32" s="37">
        <f>(Revenue!L7*Revenue!L10)+(Revenue!L12*Revenue!L15)+(Revenue!L17*Revenue!L20)+(Revenue!L22*Revenue!L25)+(Revenue!L27*Revenue!L30)</f>
        <v>181052.8926</v>
      </c>
      <c r="M32" s="37">
        <f>(Revenue!M7*Revenue!M10)+(Revenue!M12*Revenue!M15)+(Revenue!M17*Revenue!M20)+(Revenue!M22*Revenue!M25)+(Revenue!M27*Revenue!M30)</f>
        <v>191758.1322</v>
      </c>
      <c r="N32" s="37">
        <f>(Revenue!N7*Revenue!N10)+(Revenue!N12*Revenue!N15)+(Revenue!N17*Revenue!N20)+(Revenue!N22*Revenue!N25)+(Revenue!N27*Revenue!N30)</f>
        <v>201499.9003</v>
      </c>
      <c r="O32" s="37">
        <f>(Revenue!O7*Revenue!O10)+(Revenue!O12*Revenue!O15)+(Revenue!O17*Revenue!O20)+(Revenue!O22*Revenue!O25)+(Revenue!O27*Revenue!O30)</f>
        <v>210364.9093</v>
      </c>
      <c r="Q32" s="119"/>
    </row>
    <row r="34">
      <c r="B34" s="121" t="s">
        <v>456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>
      <c r="B35" s="30" t="s">
        <v>76</v>
      </c>
      <c r="C35" s="13" t="s">
        <v>447</v>
      </c>
      <c r="D35" s="29" t="s">
        <v>77</v>
      </c>
      <c r="E35" s="7"/>
      <c r="F35" s="8"/>
      <c r="G35" s="29" t="s">
        <v>78</v>
      </c>
      <c r="H35" s="7"/>
      <c r="I35" s="8"/>
      <c r="J35" s="29" t="s">
        <v>79</v>
      </c>
      <c r="K35" s="7"/>
      <c r="L35" s="8"/>
      <c r="M35" s="29" t="s">
        <v>80</v>
      </c>
      <c r="N35" s="7"/>
      <c r="O35" s="8"/>
    </row>
    <row r="36">
      <c r="B36" s="30" t="s">
        <v>141</v>
      </c>
      <c r="C36" s="13" t="s">
        <v>92</v>
      </c>
      <c r="D36" s="13" t="s">
        <v>81</v>
      </c>
      <c r="E36" s="13" t="s">
        <v>82</v>
      </c>
      <c r="F36" s="13" t="s">
        <v>83</v>
      </c>
      <c r="G36" s="13" t="s">
        <v>84</v>
      </c>
      <c r="H36" s="13" t="s">
        <v>85</v>
      </c>
      <c r="I36" s="13" t="s">
        <v>86</v>
      </c>
      <c r="J36" s="13" t="s">
        <v>87</v>
      </c>
      <c r="K36" s="13" t="s">
        <v>88</v>
      </c>
      <c r="L36" s="13" t="s">
        <v>89</v>
      </c>
      <c r="M36" s="13" t="s">
        <v>90</v>
      </c>
      <c r="N36" s="13" t="s">
        <v>91</v>
      </c>
      <c r="O36" s="13" t="s">
        <v>92</v>
      </c>
    </row>
    <row r="37">
      <c r="B37" s="12" t="s">
        <v>456</v>
      </c>
      <c r="C37" s="49"/>
      <c r="D37" s="49">
        <f>(CAC!Q38/3)+150000</f>
        <v>240000</v>
      </c>
      <c r="E37" s="49">
        <f>((CAC!Q38/3)+(CAC!R38/3))+100000</f>
        <v>280000</v>
      </c>
      <c r="F37" s="49">
        <f>(CAC!R38/3)+(CAC!S38/3)+(CAC!Q38/3)</f>
        <v>270000</v>
      </c>
      <c r="G37" s="49">
        <f>(CAC!S38/3)+(CAC!T38/3)+(CAC!R38/3)</f>
        <v>288333.3333</v>
      </c>
      <c r="H37" s="49">
        <f>(CAC!T38/3)+(CAC!U38/3)+(CAC!S38/3)</f>
        <v>306666.6667</v>
      </c>
      <c r="I37" s="49">
        <f>(CAC!U38/3)+(CAC!V38/3)+(CAC!T38/3)</f>
        <v>325000</v>
      </c>
      <c r="J37" s="49">
        <f>(CAC!V38/3)+(CAC!W38/3)+(CAC!U38/3)</f>
        <v>343333.3333</v>
      </c>
      <c r="K37" s="49">
        <f>(CAC!W38/3)+(CAC!X38/3)+(CAC!V38/3)</f>
        <v>361666.6667</v>
      </c>
      <c r="L37" s="49">
        <f>(CAC!X38/3)+(CAC!Y38/3)+(CAC!W38/3)</f>
        <v>380000</v>
      </c>
      <c r="M37" s="49">
        <f>(CAC!Y38/3)+(CAC!Z38/3)+(CAC!X38/3)</f>
        <v>398333.3333</v>
      </c>
      <c r="N37" s="49">
        <f>(CAC!Z38/3)+(CAC!AA38/3)+(CAC!Y38/3)</f>
        <v>416666.6667</v>
      </c>
      <c r="O37" s="49">
        <f>(CAC!AA38/3)+(CAC!AB38/3)+(CAC!Z38/3)</f>
        <v>435000</v>
      </c>
    </row>
  </sheetData>
  <mergeCells count="10">
    <mergeCell ref="G35:I35"/>
    <mergeCell ref="J35:L35"/>
    <mergeCell ref="B2:O2"/>
    <mergeCell ref="D3:F3"/>
    <mergeCell ref="G3:I3"/>
    <mergeCell ref="J3:L3"/>
    <mergeCell ref="M3:O3"/>
    <mergeCell ref="B34:O34"/>
    <mergeCell ref="D35:F35"/>
    <mergeCell ref="M35:O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38"/>
  </cols>
  <sheetData>
    <row r="2">
      <c r="B2" s="48" t="s">
        <v>457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>
      <c r="B3" s="12" t="s">
        <v>76</v>
      </c>
      <c r="C3" s="31"/>
      <c r="D3" s="59" t="s">
        <v>77</v>
      </c>
      <c r="E3" s="7"/>
      <c r="F3" s="8"/>
      <c r="G3" s="59" t="s">
        <v>78</v>
      </c>
      <c r="H3" s="7"/>
      <c r="I3" s="8"/>
      <c r="J3" s="59" t="s">
        <v>79</v>
      </c>
      <c r="K3" s="7"/>
      <c r="L3" s="8"/>
      <c r="M3" s="59" t="s">
        <v>80</v>
      </c>
      <c r="N3" s="7"/>
      <c r="O3" s="8"/>
    </row>
    <row r="4">
      <c r="B4" s="12" t="s">
        <v>141</v>
      </c>
      <c r="C4" s="31" t="s">
        <v>92</v>
      </c>
      <c r="D4" s="31" t="s">
        <v>81</v>
      </c>
      <c r="E4" s="31" t="s">
        <v>82</v>
      </c>
      <c r="F4" s="31" t="s">
        <v>83</v>
      </c>
      <c r="G4" s="31" t="s">
        <v>84</v>
      </c>
      <c r="H4" s="31" t="s">
        <v>85</v>
      </c>
      <c r="I4" s="31" t="s">
        <v>86</v>
      </c>
      <c r="J4" s="31" t="s">
        <v>87</v>
      </c>
      <c r="K4" s="31" t="s">
        <v>88</v>
      </c>
      <c r="L4" s="31" t="s">
        <v>89</v>
      </c>
      <c r="M4" s="31" t="s">
        <v>90</v>
      </c>
      <c r="N4" s="31" t="s">
        <v>91</v>
      </c>
      <c r="O4" s="31" t="s">
        <v>92</v>
      </c>
    </row>
    <row r="5">
      <c r="B5" s="12" t="s">
        <v>458</v>
      </c>
      <c r="C5" s="122"/>
      <c r="D5" s="49">
        <f t="shared" ref="D5:O5" si="1">IF(7000*D9&gt;0, 7000*D9, 0)</f>
        <v>35000</v>
      </c>
      <c r="E5" s="49">
        <f t="shared" si="1"/>
        <v>35000</v>
      </c>
      <c r="F5" s="49">
        <f t="shared" si="1"/>
        <v>35000</v>
      </c>
      <c r="G5" s="49">
        <f t="shared" si="1"/>
        <v>35000</v>
      </c>
      <c r="H5" s="49">
        <f t="shared" si="1"/>
        <v>35000</v>
      </c>
      <c r="I5" s="49">
        <f t="shared" si="1"/>
        <v>35000</v>
      </c>
      <c r="J5" s="49">
        <f t="shared" si="1"/>
        <v>35000</v>
      </c>
      <c r="K5" s="49">
        <f t="shared" si="1"/>
        <v>35000</v>
      </c>
      <c r="L5" s="49">
        <f t="shared" si="1"/>
        <v>35000</v>
      </c>
      <c r="M5" s="49">
        <f t="shared" si="1"/>
        <v>35000</v>
      </c>
      <c r="N5" s="49">
        <f t="shared" si="1"/>
        <v>35000</v>
      </c>
      <c r="O5" s="49">
        <f t="shared" si="1"/>
        <v>35000</v>
      </c>
    </row>
    <row r="6">
      <c r="B6" s="30" t="s">
        <v>459</v>
      </c>
      <c r="C6" s="72"/>
      <c r="D6" s="45">
        <f>'Overview Old'!C26</f>
        <v>110</v>
      </c>
      <c r="E6" s="45">
        <f>'Overview Old'!D26</f>
        <v>118</v>
      </c>
      <c r="F6" s="45">
        <f>'Overview Old'!E26</f>
        <v>123</v>
      </c>
      <c r="G6" s="45">
        <f>'Overview Old'!F26</f>
        <v>135</v>
      </c>
      <c r="H6" s="45">
        <f>'Overview Old'!G26</f>
        <v>139</v>
      </c>
      <c r="I6" s="45">
        <f>'Overview Old'!H26</f>
        <v>141</v>
      </c>
      <c r="J6" s="45">
        <f>'Overview Old'!I26</f>
        <v>147</v>
      </c>
      <c r="K6" s="45">
        <f>'Overview Old'!J26</f>
        <v>152</v>
      </c>
      <c r="L6" s="45">
        <f>'Overview Old'!K26</f>
        <v>155</v>
      </c>
      <c r="M6" s="45">
        <f>'Overview Old'!L26</f>
        <v>162</v>
      </c>
      <c r="N6" s="45">
        <f>'Overview Old'!M26</f>
        <v>165</v>
      </c>
      <c r="O6" s="45">
        <f>'Overview Old'!N26</f>
        <v>169</v>
      </c>
    </row>
    <row r="7">
      <c r="B7" s="30" t="s">
        <v>460</v>
      </c>
      <c r="C7" s="13"/>
      <c r="D7" s="13">
        <v>76.0</v>
      </c>
      <c r="E7" s="72">
        <f t="shared" ref="E7:O7" si="2">D7+D9</f>
        <v>81</v>
      </c>
      <c r="F7" s="72">
        <f t="shared" si="2"/>
        <v>86</v>
      </c>
      <c r="G7" s="72">
        <f t="shared" si="2"/>
        <v>91</v>
      </c>
      <c r="H7" s="72">
        <f t="shared" si="2"/>
        <v>96</v>
      </c>
      <c r="I7" s="72">
        <f t="shared" si="2"/>
        <v>101</v>
      </c>
      <c r="J7" s="72">
        <f t="shared" si="2"/>
        <v>106</v>
      </c>
      <c r="K7" s="72">
        <f t="shared" si="2"/>
        <v>111</v>
      </c>
      <c r="L7" s="72">
        <f t="shared" si="2"/>
        <v>116</v>
      </c>
      <c r="M7" s="72">
        <f t="shared" si="2"/>
        <v>121</v>
      </c>
      <c r="N7" s="72">
        <f t="shared" si="2"/>
        <v>126</v>
      </c>
      <c r="O7" s="72">
        <f t="shared" si="2"/>
        <v>131</v>
      </c>
    </row>
    <row r="8">
      <c r="B8" s="30" t="s">
        <v>461</v>
      </c>
      <c r="C8" s="72"/>
      <c r="D8" s="45">
        <f t="shared" ref="D8:O8" si="3">D6-D7</f>
        <v>34</v>
      </c>
      <c r="E8" s="45">
        <f t="shared" si="3"/>
        <v>37</v>
      </c>
      <c r="F8" s="45">
        <f t="shared" si="3"/>
        <v>37</v>
      </c>
      <c r="G8" s="45">
        <f t="shared" si="3"/>
        <v>44</v>
      </c>
      <c r="H8" s="45">
        <f t="shared" si="3"/>
        <v>43</v>
      </c>
      <c r="I8" s="45">
        <f t="shared" si="3"/>
        <v>40</v>
      </c>
      <c r="J8" s="45">
        <f t="shared" si="3"/>
        <v>41</v>
      </c>
      <c r="K8" s="45">
        <f t="shared" si="3"/>
        <v>41</v>
      </c>
      <c r="L8" s="45">
        <f t="shared" si="3"/>
        <v>39</v>
      </c>
      <c r="M8" s="45">
        <f t="shared" si="3"/>
        <v>41</v>
      </c>
      <c r="N8" s="45">
        <f t="shared" si="3"/>
        <v>39</v>
      </c>
      <c r="O8" s="45">
        <f t="shared" si="3"/>
        <v>38</v>
      </c>
    </row>
    <row r="9">
      <c r="B9" s="30" t="s">
        <v>462</v>
      </c>
      <c r="C9" s="13"/>
      <c r="D9" s="13">
        <v>5.0</v>
      </c>
      <c r="E9" s="13">
        <v>5.0</v>
      </c>
      <c r="F9" s="13">
        <v>5.0</v>
      </c>
      <c r="G9" s="13">
        <v>5.0</v>
      </c>
      <c r="H9" s="13">
        <v>5.0</v>
      </c>
      <c r="I9" s="13">
        <v>5.0</v>
      </c>
      <c r="J9" s="13">
        <v>5.0</v>
      </c>
      <c r="K9" s="13">
        <v>5.0</v>
      </c>
      <c r="L9" s="13">
        <v>5.0</v>
      </c>
      <c r="M9" s="13">
        <v>5.0</v>
      </c>
      <c r="N9" s="13">
        <v>5.0</v>
      </c>
      <c r="O9" s="13">
        <v>5.0</v>
      </c>
    </row>
    <row r="10">
      <c r="B10" s="2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</sheetData>
  <mergeCells count="5">
    <mergeCell ref="B2:O2"/>
    <mergeCell ref="D3:F3"/>
    <mergeCell ref="G3:I3"/>
    <mergeCell ref="J3:L3"/>
    <mergeCell ref="M3:O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7.25"/>
    <col customWidth="1" min="3" max="3" width="15.63"/>
    <col customWidth="1" min="4" max="4" width="5.63"/>
    <col customWidth="1" min="5" max="5" width="23.0"/>
  </cols>
  <sheetData>
    <row r="1" ht="11.25" customHeight="1"/>
    <row r="2">
      <c r="B2" s="29" t="s">
        <v>77</v>
      </c>
      <c r="C2" s="8"/>
      <c r="D2" s="2"/>
      <c r="E2" s="12" t="s">
        <v>76</v>
      </c>
      <c r="F2" s="59" t="s">
        <v>77</v>
      </c>
      <c r="G2" s="7"/>
      <c r="H2" s="8"/>
      <c r="I2" s="59" t="s">
        <v>78</v>
      </c>
      <c r="J2" s="7"/>
      <c r="K2" s="8"/>
      <c r="L2" s="59" t="s">
        <v>79</v>
      </c>
      <c r="M2" s="7"/>
      <c r="N2" s="8"/>
      <c r="O2" s="59" t="s">
        <v>80</v>
      </c>
      <c r="P2" s="7"/>
      <c r="Q2" s="8"/>
    </row>
    <row r="3">
      <c r="A3" s="32"/>
      <c r="B3" s="30" t="s">
        <v>463</v>
      </c>
      <c r="C3" s="33">
        <v>0.95</v>
      </c>
      <c r="D3" s="2"/>
      <c r="E3" s="12" t="s">
        <v>141</v>
      </c>
      <c r="F3" s="31" t="s">
        <v>81</v>
      </c>
      <c r="G3" s="31" t="s">
        <v>82</v>
      </c>
      <c r="H3" s="31" t="s">
        <v>83</v>
      </c>
      <c r="I3" s="31" t="s">
        <v>84</v>
      </c>
      <c r="J3" s="31" t="s">
        <v>85</v>
      </c>
      <c r="K3" s="31" t="s">
        <v>86</v>
      </c>
      <c r="L3" s="31" t="s">
        <v>87</v>
      </c>
      <c r="M3" s="31" t="s">
        <v>88</v>
      </c>
      <c r="N3" s="31" t="s">
        <v>89</v>
      </c>
      <c r="O3" s="31" t="s">
        <v>90</v>
      </c>
      <c r="P3" s="31" t="s">
        <v>91</v>
      </c>
      <c r="Q3" s="31" t="s">
        <v>92</v>
      </c>
    </row>
    <row r="4">
      <c r="A4" s="2"/>
      <c r="B4" s="30" t="s">
        <v>464</v>
      </c>
      <c r="C4" s="33">
        <v>0.14</v>
      </c>
      <c r="D4" s="2"/>
      <c r="E4" s="12" t="s">
        <v>115</v>
      </c>
      <c r="F4" s="49">
        <f>'Overview Old'!C7</f>
        <v>1417616.667</v>
      </c>
      <c r="G4" s="49">
        <f>'Overview Old'!D7</f>
        <v>1608141.5</v>
      </c>
      <c r="H4" s="49">
        <f>'Overview Old'!E7</f>
        <v>1664264.152</v>
      </c>
      <c r="I4" s="49">
        <f>'Overview Old'!F7</f>
        <v>1816870.111</v>
      </c>
      <c r="J4" s="49">
        <f>'Overview Old'!G7</f>
        <v>1988532.035</v>
      </c>
      <c r="K4" s="49">
        <f>'Overview Old'!H7</f>
        <v>2062292.852</v>
      </c>
      <c r="L4" s="49">
        <f>'Overview Old'!I7</f>
        <v>2235450.328</v>
      </c>
      <c r="M4" s="49">
        <f>'Overview Old'!J7</f>
        <v>2411334.732</v>
      </c>
      <c r="N4" s="49">
        <f>'Overview Old'!K7</f>
        <v>2470745.473</v>
      </c>
      <c r="O4" s="49">
        <f>'Overview Old'!L7</f>
        <v>2665985.914</v>
      </c>
      <c r="P4" s="49">
        <f>'Overview Old'!M7</f>
        <v>2832561.115</v>
      </c>
      <c r="Q4" s="49">
        <f>'Overview Old'!N7</f>
        <v>2909394.548</v>
      </c>
    </row>
    <row r="5">
      <c r="B5" s="30" t="s">
        <v>465</v>
      </c>
      <c r="C5" s="33">
        <v>0.05</v>
      </c>
      <c r="D5" s="2"/>
      <c r="E5" s="30" t="s">
        <v>466</v>
      </c>
      <c r="F5" s="34">
        <f t="shared" ref="F5:H5" si="1">F4*$C$3</f>
        <v>1346735.833</v>
      </c>
      <c r="G5" s="34">
        <f t="shared" si="1"/>
        <v>1527734.425</v>
      </c>
      <c r="H5" s="34">
        <f t="shared" si="1"/>
        <v>1581050.944</v>
      </c>
      <c r="I5" s="34">
        <f t="shared" ref="I5:K5" si="2">I4*$C$10</f>
        <v>1726026.606</v>
      </c>
      <c r="J5" s="34">
        <f t="shared" si="2"/>
        <v>1889105.433</v>
      </c>
      <c r="K5" s="34">
        <f t="shared" si="2"/>
        <v>1959178.209</v>
      </c>
      <c r="L5" s="34">
        <f t="shared" ref="L5:N5" si="3">L4*$C$17</f>
        <v>2123677.812</v>
      </c>
      <c r="M5" s="34">
        <f t="shared" si="3"/>
        <v>2290767.995</v>
      </c>
      <c r="N5" s="34">
        <f t="shared" si="3"/>
        <v>2347208.199</v>
      </c>
      <c r="O5" s="34">
        <f t="shared" ref="O5:Q5" si="4">O4*$C$24</f>
        <v>2532686.618</v>
      </c>
      <c r="P5" s="34">
        <f t="shared" si="4"/>
        <v>2690933.059</v>
      </c>
      <c r="Q5" s="34">
        <f t="shared" si="4"/>
        <v>2763924.82</v>
      </c>
    </row>
    <row r="6">
      <c r="B6" s="30" t="s">
        <v>467</v>
      </c>
      <c r="C6" s="33">
        <v>0.05</v>
      </c>
      <c r="D6" s="2"/>
      <c r="E6" s="30" t="s">
        <v>468</v>
      </c>
      <c r="F6" s="34">
        <f t="shared" ref="F6:Q6" si="5">160000/0.92</f>
        <v>173913.0435</v>
      </c>
      <c r="G6" s="34">
        <f t="shared" si="5"/>
        <v>173913.0435</v>
      </c>
      <c r="H6" s="34">
        <f t="shared" si="5"/>
        <v>173913.0435</v>
      </c>
      <c r="I6" s="34">
        <f t="shared" si="5"/>
        <v>173913.0435</v>
      </c>
      <c r="J6" s="34">
        <f t="shared" si="5"/>
        <v>173913.0435</v>
      </c>
      <c r="K6" s="34">
        <f t="shared" si="5"/>
        <v>173913.0435</v>
      </c>
      <c r="L6" s="34">
        <f t="shared" si="5"/>
        <v>173913.0435</v>
      </c>
      <c r="M6" s="34">
        <f t="shared" si="5"/>
        <v>173913.0435</v>
      </c>
      <c r="N6" s="34">
        <f t="shared" si="5"/>
        <v>173913.0435</v>
      </c>
      <c r="O6" s="34">
        <f t="shared" si="5"/>
        <v>173913.0435</v>
      </c>
      <c r="P6" s="34">
        <f t="shared" si="5"/>
        <v>173913.0435</v>
      </c>
      <c r="Q6" s="34">
        <f t="shared" si="5"/>
        <v>173913.0435</v>
      </c>
    </row>
    <row r="7">
      <c r="B7" s="30" t="s">
        <v>469</v>
      </c>
      <c r="C7" s="33">
        <v>0.34</v>
      </c>
      <c r="D7" s="2"/>
      <c r="E7" s="30" t="s">
        <v>470</v>
      </c>
      <c r="F7" s="34">
        <f>F6*(1-'Overview Old'!$S$3)</f>
        <v>163478.2609</v>
      </c>
      <c r="G7" s="34">
        <f>G6*(1-'Overview Old'!$S$3)</f>
        <v>163478.2609</v>
      </c>
      <c r="H7" s="34">
        <f>H6*(1-'Overview Old'!$S$3)</f>
        <v>163478.2609</v>
      </c>
      <c r="I7" s="34">
        <f>I6*(1-'Overview Old'!$S$6)</f>
        <v>163478.2609</v>
      </c>
      <c r="J7" s="34">
        <f>J6*(1-'Overview Old'!$S$6)</f>
        <v>163478.2609</v>
      </c>
      <c r="K7" s="34">
        <f>K6*(1-'Overview Old'!$S$6)</f>
        <v>163478.2609</v>
      </c>
      <c r="L7" s="34">
        <f>L6*(1-'Overview Old'!$S$9)</f>
        <v>163478.2609</v>
      </c>
      <c r="M7" s="34">
        <f>M6*(1-'Overview Old'!$S$9)</f>
        <v>163478.2609</v>
      </c>
      <c r="N7" s="34">
        <f>N6*(1-'Overview Old'!$S$9)</f>
        <v>163478.2609</v>
      </c>
      <c r="O7" s="34">
        <f>O6*(1-'Overview Old'!$S$12)</f>
        <v>163478.2609</v>
      </c>
      <c r="P7" s="34">
        <f>P6*(1-'Overview Old'!$S$12)</f>
        <v>163478.2609</v>
      </c>
      <c r="Q7" s="34">
        <f>Q6*(1-'Overview Old'!$S$12)</f>
        <v>163478.2609</v>
      </c>
    </row>
    <row r="8">
      <c r="E8" s="30" t="s">
        <v>471</v>
      </c>
      <c r="F8" s="34">
        <f t="shared" ref="F8:Q8" si="6">F5-F6</f>
        <v>1172822.79</v>
      </c>
      <c r="G8" s="34">
        <f t="shared" si="6"/>
        <v>1353821.382</v>
      </c>
      <c r="H8" s="34">
        <f t="shared" si="6"/>
        <v>1407137.901</v>
      </c>
      <c r="I8" s="34">
        <f t="shared" si="6"/>
        <v>1552113.562</v>
      </c>
      <c r="J8" s="34">
        <f t="shared" si="6"/>
        <v>1715192.389</v>
      </c>
      <c r="K8" s="34">
        <f t="shared" si="6"/>
        <v>1785265.165</v>
      </c>
      <c r="L8" s="34">
        <f t="shared" si="6"/>
        <v>1949764.768</v>
      </c>
      <c r="M8" s="34">
        <f t="shared" si="6"/>
        <v>2116854.952</v>
      </c>
      <c r="N8" s="34">
        <f t="shared" si="6"/>
        <v>2173295.156</v>
      </c>
      <c r="O8" s="34">
        <f t="shared" si="6"/>
        <v>2358773.574</v>
      </c>
      <c r="P8" s="34">
        <f t="shared" si="6"/>
        <v>2517020.015</v>
      </c>
      <c r="Q8" s="34">
        <f t="shared" si="6"/>
        <v>2590011.777</v>
      </c>
    </row>
    <row r="9">
      <c r="B9" s="29" t="s">
        <v>78</v>
      </c>
      <c r="C9" s="8"/>
      <c r="E9" s="30" t="s">
        <v>472</v>
      </c>
      <c r="F9" s="34">
        <f>F8*(1-'Overview Old'!$S$3)</f>
        <v>1102453.422</v>
      </c>
      <c r="G9" s="34">
        <f>G8*(1-'Overview Old'!$S$3)</f>
        <v>1272592.099</v>
      </c>
      <c r="H9" s="34">
        <f>H8*(1-'Overview Old'!$S$3)</f>
        <v>1322709.627</v>
      </c>
      <c r="I9" s="34">
        <f>I8*(1-'Overview Old'!$S$6)</f>
        <v>1458986.749</v>
      </c>
      <c r="J9" s="34">
        <f>J8*(1-'Overview Old'!$S$6)</f>
        <v>1612280.846</v>
      </c>
      <c r="K9" s="34">
        <f>K8*(1-'Overview Old'!$S$6)</f>
        <v>1678149.256</v>
      </c>
      <c r="L9" s="34">
        <f>L8*(1-'Overview Old'!$S$9)</f>
        <v>1832778.882</v>
      </c>
      <c r="M9" s="34">
        <f>M8*(1-'Overview Old'!$S$9)</f>
        <v>1989843.655</v>
      </c>
      <c r="N9" s="34">
        <f>N8*(1-'Overview Old'!$S$9)</f>
        <v>2042897.446</v>
      </c>
      <c r="O9" s="34">
        <f>O8*(1-'Overview Old'!$S$12)</f>
        <v>2217247.16</v>
      </c>
      <c r="P9" s="34">
        <f>P8*(1-'Overview Old'!$S$12)</f>
        <v>2365998.815</v>
      </c>
      <c r="Q9" s="34">
        <f>Q8*(1-'Overview Old'!$S$12)</f>
        <v>2434611.07</v>
      </c>
    </row>
    <row r="10">
      <c r="B10" s="30" t="s">
        <v>463</v>
      </c>
      <c r="C10" s="33">
        <v>0.95</v>
      </c>
      <c r="E10" s="2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>
      <c r="B11" s="30" t="s">
        <v>464</v>
      </c>
      <c r="C11" s="33">
        <v>0.15</v>
      </c>
      <c r="E11" s="30" t="s">
        <v>473</v>
      </c>
      <c r="F11" s="34">
        <f t="shared" ref="F11:H11" si="7">F7*$C$4</f>
        <v>22886.95652</v>
      </c>
      <c r="G11" s="34">
        <f t="shared" si="7"/>
        <v>22886.95652</v>
      </c>
      <c r="H11" s="34">
        <f t="shared" si="7"/>
        <v>22886.95652</v>
      </c>
      <c r="I11" s="34">
        <f t="shared" ref="I11:K11" si="8">I7*$C$11</f>
        <v>24521.73913</v>
      </c>
      <c r="J11" s="34">
        <f t="shared" si="8"/>
        <v>24521.73913</v>
      </c>
      <c r="K11" s="34">
        <f t="shared" si="8"/>
        <v>24521.73913</v>
      </c>
      <c r="L11" s="34">
        <f t="shared" ref="L11:N11" si="9">L7*$C$18</f>
        <v>24521.73913</v>
      </c>
      <c r="M11" s="34">
        <f t="shared" si="9"/>
        <v>24521.73913</v>
      </c>
      <c r="N11" s="34">
        <f t="shared" si="9"/>
        <v>24521.73913</v>
      </c>
      <c r="O11" s="34">
        <f t="shared" ref="O11:Q11" si="10">O7*$C$25</f>
        <v>24521.73913</v>
      </c>
      <c r="P11" s="34">
        <f t="shared" si="10"/>
        <v>24521.73913</v>
      </c>
      <c r="Q11" s="34">
        <f t="shared" si="10"/>
        <v>24521.73913</v>
      </c>
    </row>
    <row r="12">
      <c r="B12" s="30" t="s">
        <v>465</v>
      </c>
      <c r="C12" s="33">
        <v>0.05</v>
      </c>
      <c r="E12" s="30" t="s">
        <v>474</v>
      </c>
      <c r="F12" s="34">
        <f t="shared" ref="F12:H12" si="11">(F9*$C$5)</f>
        <v>55122.67112</v>
      </c>
      <c r="G12" s="34">
        <f t="shared" si="11"/>
        <v>63629.60493</v>
      </c>
      <c r="H12" s="34">
        <f t="shared" si="11"/>
        <v>66135.48133</v>
      </c>
      <c r="I12" s="34">
        <f t="shared" ref="I12:K12" si="12">(I9*$C$12)</f>
        <v>72949.33743</v>
      </c>
      <c r="J12" s="34">
        <f t="shared" si="12"/>
        <v>80614.0423</v>
      </c>
      <c r="K12" s="34">
        <f t="shared" si="12"/>
        <v>83907.46278</v>
      </c>
      <c r="L12" s="34">
        <f t="shared" ref="L12:N12" si="13">(L9*$C$19)</f>
        <v>91638.94411</v>
      </c>
      <c r="M12" s="34">
        <f t="shared" si="13"/>
        <v>99492.18274</v>
      </c>
      <c r="N12" s="34">
        <f t="shared" si="13"/>
        <v>102144.8723</v>
      </c>
      <c r="O12" s="34">
        <f t="shared" ref="O12:Q12" si="14">(O9*$C$26)</f>
        <v>110862.358</v>
      </c>
      <c r="P12" s="34">
        <f t="shared" si="14"/>
        <v>118299.9407</v>
      </c>
      <c r="Q12" s="34">
        <f t="shared" si="14"/>
        <v>121730.5535</v>
      </c>
    </row>
    <row r="13">
      <c r="B13" s="30" t="s">
        <v>467</v>
      </c>
      <c r="C13" s="33">
        <v>0.05</v>
      </c>
      <c r="E13" s="30" t="s">
        <v>475</v>
      </c>
      <c r="F13" s="34">
        <f t="shared" ref="F13:H13" si="15">F9*$C$6</f>
        <v>55122.67112</v>
      </c>
      <c r="G13" s="34">
        <f t="shared" si="15"/>
        <v>63629.60493</v>
      </c>
      <c r="H13" s="34">
        <f t="shared" si="15"/>
        <v>66135.48133</v>
      </c>
      <c r="I13" s="34">
        <f t="shared" ref="I13:K13" si="16">I9*$C$13</f>
        <v>72949.33743</v>
      </c>
      <c r="J13" s="34">
        <f t="shared" si="16"/>
        <v>80614.0423</v>
      </c>
      <c r="K13" s="34">
        <f t="shared" si="16"/>
        <v>83907.46278</v>
      </c>
      <c r="L13" s="34">
        <f t="shared" ref="L13:N13" si="17">L9*$C$20</f>
        <v>91638.94411</v>
      </c>
      <c r="M13" s="34">
        <f t="shared" si="17"/>
        <v>99492.18274</v>
      </c>
      <c r="N13" s="34">
        <f t="shared" si="17"/>
        <v>102144.8723</v>
      </c>
      <c r="O13" s="34">
        <f t="shared" ref="O13:Q13" si="18">O9*$C$27</f>
        <v>110862.358</v>
      </c>
      <c r="P13" s="34">
        <f t="shared" si="18"/>
        <v>118299.9407</v>
      </c>
      <c r="Q13" s="34">
        <f t="shared" si="18"/>
        <v>121730.5535</v>
      </c>
    </row>
    <row r="14">
      <c r="B14" s="30" t="s">
        <v>469</v>
      </c>
      <c r="C14" s="33">
        <v>0.34</v>
      </c>
      <c r="E14" s="30" t="s">
        <v>476</v>
      </c>
      <c r="F14" s="34">
        <f>'Overview Old'!C15*$C$7</f>
        <v>99528.62786</v>
      </c>
      <c r="G14" s="34">
        <f>'Overview Old'!D15*$C$7</f>
        <v>136974.7222</v>
      </c>
      <c r="H14" s="34">
        <f>'Overview Old'!E15*$C$7</f>
        <v>137235.6067</v>
      </c>
      <c r="I14" s="34">
        <f>'Overview Old'!F15*$C$14</f>
        <v>150356.4178</v>
      </c>
      <c r="J14" s="34">
        <f>'Overview Old'!G15*$C$14</f>
        <v>162404.0167</v>
      </c>
      <c r="K14" s="34">
        <f>'Overview Old'!H15*$C$14</f>
        <v>199890.6775</v>
      </c>
      <c r="L14" s="34">
        <f>'Overview Old'!I15*$C$21</f>
        <v>191918.6335</v>
      </c>
      <c r="M14" s="34">
        <f>'Overview Old'!J15*$C$21</f>
        <v>266072.1666</v>
      </c>
      <c r="N14" s="34">
        <f>'Overview Old'!K15*$C$21</f>
        <v>273252.2161</v>
      </c>
      <c r="O14" s="34">
        <f>'Overview Old'!L15*$C$28</f>
        <v>292957.7832</v>
      </c>
      <c r="P14" s="34">
        <f>'Overview Old'!M15*$C$28</f>
        <v>337002.5564</v>
      </c>
      <c r="Q14" s="34">
        <f>'Overview Old'!N15*$C$28</f>
        <v>335508.2513</v>
      </c>
    </row>
    <row r="16">
      <c r="B16" s="29" t="s">
        <v>79</v>
      </c>
      <c r="C16" s="8"/>
      <c r="E16" s="31" t="s">
        <v>477</v>
      </c>
      <c r="F16" s="38">
        <f t="shared" ref="F16:Q16" si="19">SUM(F11:F14)/F4</f>
        <v>0.1641211846</v>
      </c>
      <c r="G16" s="38">
        <f t="shared" si="19"/>
        <v>0.1785420553</v>
      </c>
      <c r="H16" s="38">
        <f t="shared" si="19"/>
        <v>0.1756893733</v>
      </c>
      <c r="I16" s="38">
        <f t="shared" si="19"/>
        <v>0.1765546308</v>
      </c>
      <c r="J16" s="38">
        <f t="shared" si="19"/>
        <v>0.1750808307</v>
      </c>
      <c r="K16" s="38">
        <f t="shared" si="19"/>
        <v>0.1901899344</v>
      </c>
      <c r="L16" s="38">
        <f t="shared" si="19"/>
        <v>0.1788088314</v>
      </c>
      <c r="M16" s="38">
        <f t="shared" si="19"/>
        <v>0.2030320655</v>
      </c>
      <c r="N16" s="38">
        <f t="shared" si="19"/>
        <v>0.2032033268</v>
      </c>
      <c r="O16" s="38">
        <f t="shared" si="19"/>
        <v>0.2022532211</v>
      </c>
      <c r="P16" s="38">
        <f t="shared" si="19"/>
        <v>0.2111602019</v>
      </c>
      <c r="Q16" s="38">
        <f t="shared" si="19"/>
        <v>0.2074284143</v>
      </c>
    </row>
    <row r="17">
      <c r="B17" s="30" t="s">
        <v>463</v>
      </c>
      <c r="C17" s="33">
        <v>0.95</v>
      </c>
    </row>
    <row r="18">
      <c r="B18" s="30" t="s">
        <v>464</v>
      </c>
      <c r="C18" s="33">
        <v>0.15</v>
      </c>
      <c r="E18" s="31" t="s">
        <v>478</v>
      </c>
      <c r="F18" s="38">
        <f t="shared" ref="F18:Q18" si="20">(F12+F13+F14)/F8</f>
        <v>0.1788624607</v>
      </c>
      <c r="G18" s="38">
        <f t="shared" si="20"/>
        <v>0.195176362</v>
      </c>
      <c r="H18" s="38">
        <f t="shared" si="20"/>
        <v>0.1915281858</v>
      </c>
      <c r="I18" s="38">
        <f t="shared" si="20"/>
        <v>0.1908720469</v>
      </c>
      <c r="J18" s="38">
        <f t="shared" si="20"/>
        <v>0.1886855978</v>
      </c>
      <c r="K18" s="38">
        <f t="shared" si="20"/>
        <v>0.2059669399</v>
      </c>
      <c r="L18" s="38">
        <f t="shared" si="20"/>
        <v>0.192431686</v>
      </c>
      <c r="M18" s="38">
        <f t="shared" si="20"/>
        <v>0.219692205</v>
      </c>
      <c r="N18" s="38">
        <f t="shared" si="20"/>
        <v>0.2197317559</v>
      </c>
      <c r="O18" s="38">
        <f t="shared" si="20"/>
        <v>0.2181991967</v>
      </c>
      <c r="P18" s="38">
        <f t="shared" si="20"/>
        <v>0.227889502</v>
      </c>
      <c r="Q18" s="38">
        <f t="shared" si="20"/>
        <v>0.2235392763</v>
      </c>
    </row>
    <row r="19">
      <c r="B19" s="30" t="s">
        <v>465</v>
      </c>
      <c r="C19" s="33">
        <v>0.05</v>
      </c>
      <c r="E19" s="31" t="s">
        <v>479</v>
      </c>
      <c r="F19" s="38">
        <f t="shared" ref="F19:Q19" si="21">(F11)/F6</f>
        <v>0.1316</v>
      </c>
      <c r="G19" s="38">
        <f t="shared" si="21"/>
        <v>0.1316</v>
      </c>
      <c r="H19" s="38">
        <f t="shared" si="21"/>
        <v>0.1316</v>
      </c>
      <c r="I19" s="38">
        <f t="shared" si="21"/>
        <v>0.141</v>
      </c>
      <c r="J19" s="38">
        <f t="shared" si="21"/>
        <v>0.141</v>
      </c>
      <c r="K19" s="38">
        <f t="shared" si="21"/>
        <v>0.141</v>
      </c>
      <c r="L19" s="38">
        <f t="shared" si="21"/>
        <v>0.141</v>
      </c>
      <c r="M19" s="38">
        <f t="shared" si="21"/>
        <v>0.141</v>
      </c>
      <c r="N19" s="38">
        <f t="shared" si="21"/>
        <v>0.141</v>
      </c>
      <c r="O19" s="38">
        <f t="shared" si="21"/>
        <v>0.141</v>
      </c>
      <c r="P19" s="38">
        <f t="shared" si="21"/>
        <v>0.141</v>
      </c>
      <c r="Q19" s="38">
        <f t="shared" si="21"/>
        <v>0.141</v>
      </c>
    </row>
    <row r="20">
      <c r="B20" s="30" t="s">
        <v>467</v>
      </c>
      <c r="C20" s="33">
        <v>0.05</v>
      </c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>
      <c r="B21" s="30" t="s">
        <v>469</v>
      </c>
      <c r="C21" s="33">
        <v>0.34</v>
      </c>
      <c r="G21" s="41"/>
      <c r="H21" s="124"/>
      <c r="I21" s="124"/>
      <c r="J21" s="124"/>
      <c r="K21" s="124"/>
      <c r="L21" s="124"/>
      <c r="M21" s="124"/>
      <c r="N21" s="124"/>
      <c r="O21" s="124"/>
      <c r="P21" s="124"/>
      <c r="Q21" s="124"/>
    </row>
    <row r="22">
      <c r="H22" s="123"/>
      <c r="I22" s="124"/>
      <c r="J22" s="124"/>
      <c r="K22" s="124"/>
      <c r="L22" s="124"/>
      <c r="M22" s="124"/>
      <c r="N22" s="124"/>
      <c r="O22" s="124"/>
      <c r="P22" s="124"/>
      <c r="Q22" s="124"/>
    </row>
    <row r="23">
      <c r="B23" s="29" t="s">
        <v>80</v>
      </c>
      <c r="C23" s="8"/>
      <c r="F23" s="41"/>
      <c r="H23" s="120"/>
      <c r="I23" s="124"/>
      <c r="J23" s="124"/>
      <c r="K23" s="124"/>
      <c r="L23" s="124"/>
      <c r="M23" s="124"/>
      <c r="N23" s="124"/>
      <c r="O23" s="124"/>
      <c r="P23" s="124"/>
      <c r="Q23" s="124"/>
    </row>
    <row r="24">
      <c r="B24" s="30" t="s">
        <v>463</v>
      </c>
      <c r="C24" s="33">
        <v>0.95</v>
      </c>
      <c r="H24" s="120"/>
    </row>
    <row r="25">
      <c r="B25" s="30" t="s">
        <v>464</v>
      </c>
      <c r="C25" s="33">
        <v>0.15</v>
      </c>
      <c r="F25" s="124"/>
      <c r="G25" s="41"/>
      <c r="H25" s="41"/>
      <c r="I25" s="124"/>
      <c r="J25" s="124"/>
      <c r="K25" s="124"/>
      <c r="L25" s="124"/>
      <c r="M25" s="124"/>
      <c r="N25" s="124"/>
      <c r="O25" s="124"/>
      <c r="P25" s="124"/>
      <c r="Q25" s="124"/>
    </row>
    <row r="26">
      <c r="B26" s="30" t="s">
        <v>465</v>
      </c>
      <c r="C26" s="33">
        <v>0.05</v>
      </c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>
      <c r="B27" s="30" t="s">
        <v>467</v>
      </c>
      <c r="C27" s="33">
        <v>0.05</v>
      </c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  <row r="28">
      <c r="B28" s="30" t="s">
        <v>469</v>
      </c>
      <c r="C28" s="33">
        <v>0.34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>
      <c r="F29" s="123"/>
    </row>
    <row r="30">
      <c r="E30" s="123"/>
      <c r="F30" s="123"/>
    </row>
    <row r="31">
      <c r="E31" s="123"/>
      <c r="F31" s="123"/>
    </row>
    <row r="32">
      <c r="E32" s="123"/>
      <c r="F32" s="125"/>
    </row>
    <row r="33">
      <c r="E33" s="123"/>
      <c r="F33" s="125"/>
    </row>
    <row r="35">
      <c r="B35" s="126"/>
    </row>
  </sheetData>
  <mergeCells count="8">
    <mergeCell ref="B2:C2"/>
    <mergeCell ref="F2:H2"/>
    <mergeCell ref="I2:K2"/>
    <mergeCell ref="L2:N2"/>
    <mergeCell ref="O2:Q2"/>
    <mergeCell ref="B9:C9"/>
    <mergeCell ref="B16:C16"/>
    <mergeCell ref="B23:C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8.5"/>
    <col customWidth="1" min="3" max="14" width="15.13"/>
  </cols>
  <sheetData>
    <row r="2">
      <c r="B2" s="86"/>
      <c r="C2" s="88" t="s">
        <v>81</v>
      </c>
      <c r="D2" s="88" t="s">
        <v>82</v>
      </c>
      <c r="E2" s="88" t="s">
        <v>83</v>
      </c>
      <c r="F2" s="88" t="s">
        <v>84</v>
      </c>
      <c r="G2" s="88" t="s">
        <v>85</v>
      </c>
      <c r="H2" s="88" t="s">
        <v>86</v>
      </c>
      <c r="I2" s="88" t="s">
        <v>87</v>
      </c>
      <c r="J2" s="88" t="s">
        <v>88</v>
      </c>
      <c r="K2" s="88" t="s">
        <v>89</v>
      </c>
      <c r="L2" s="88" t="s">
        <v>90</v>
      </c>
      <c r="M2" s="88" t="s">
        <v>91</v>
      </c>
      <c r="N2" s="88" t="s">
        <v>92</v>
      </c>
    </row>
    <row r="3">
      <c r="B3" s="54" t="s">
        <v>480</v>
      </c>
      <c r="C3" s="127">
        <v>40.0</v>
      </c>
      <c r="D3" s="127">
        <v>60.0</v>
      </c>
      <c r="E3" s="127">
        <v>100.0</v>
      </c>
      <c r="F3" s="127">
        <v>150.0</v>
      </c>
      <c r="G3" s="127">
        <v>150.0</v>
      </c>
      <c r="H3" s="127">
        <v>150.0</v>
      </c>
      <c r="I3" s="127">
        <v>200.0</v>
      </c>
      <c r="J3" s="127">
        <v>200.0</v>
      </c>
      <c r="K3" s="127">
        <v>200.0</v>
      </c>
      <c r="L3" s="127">
        <v>300.0</v>
      </c>
      <c r="M3" s="127">
        <v>300.0</v>
      </c>
      <c r="N3" s="127">
        <v>300.0</v>
      </c>
    </row>
    <row r="4">
      <c r="B4" s="54" t="s">
        <v>481</v>
      </c>
      <c r="C4" s="63">
        <v>120.0</v>
      </c>
      <c r="D4" s="63">
        <v>120.0</v>
      </c>
      <c r="E4" s="63">
        <v>120.0</v>
      </c>
      <c r="F4" s="63">
        <v>120.0</v>
      </c>
      <c r="G4" s="63">
        <v>120.0</v>
      </c>
      <c r="H4" s="63">
        <v>120.0</v>
      </c>
      <c r="I4" s="63">
        <v>130.0</v>
      </c>
      <c r="J4" s="63">
        <v>130.0</v>
      </c>
      <c r="K4" s="63">
        <v>130.0</v>
      </c>
      <c r="L4" s="63">
        <v>135.0</v>
      </c>
      <c r="M4" s="63">
        <v>135.0</v>
      </c>
      <c r="N4" s="63">
        <v>135.0</v>
      </c>
    </row>
    <row r="5">
      <c r="B5" s="30" t="s">
        <v>482</v>
      </c>
      <c r="C5" s="33">
        <v>0.25</v>
      </c>
      <c r="D5" s="33">
        <v>0.3</v>
      </c>
      <c r="E5" s="33">
        <v>0.35</v>
      </c>
      <c r="F5" s="33">
        <v>0.4</v>
      </c>
      <c r="G5" s="33">
        <v>0.45</v>
      </c>
      <c r="H5" s="33">
        <v>0.5</v>
      </c>
      <c r="I5" s="33">
        <v>0.55</v>
      </c>
      <c r="J5" s="33">
        <v>0.6</v>
      </c>
      <c r="K5" s="33">
        <v>0.6</v>
      </c>
      <c r="L5" s="33">
        <v>0.6</v>
      </c>
      <c r="M5" s="33">
        <v>0.6</v>
      </c>
      <c r="N5" s="33">
        <v>0.6</v>
      </c>
    </row>
    <row r="6">
      <c r="B6" s="75" t="s">
        <v>483</v>
      </c>
      <c r="C6" s="61">
        <f t="shared" ref="C6:N6" si="1">C3*C4*12*C5</f>
        <v>14400</v>
      </c>
      <c r="D6" s="61">
        <f t="shared" si="1"/>
        <v>25920</v>
      </c>
      <c r="E6" s="61">
        <f t="shared" si="1"/>
        <v>50400</v>
      </c>
      <c r="F6" s="61">
        <f t="shared" si="1"/>
        <v>86400</v>
      </c>
      <c r="G6" s="61">
        <f t="shared" si="1"/>
        <v>97200</v>
      </c>
      <c r="H6" s="61">
        <f t="shared" si="1"/>
        <v>108000</v>
      </c>
      <c r="I6" s="61">
        <f t="shared" si="1"/>
        <v>171600</v>
      </c>
      <c r="J6" s="61">
        <f t="shared" si="1"/>
        <v>187200</v>
      </c>
      <c r="K6" s="61">
        <f t="shared" si="1"/>
        <v>187200</v>
      </c>
      <c r="L6" s="61">
        <f t="shared" si="1"/>
        <v>291600</v>
      </c>
      <c r="M6" s="61">
        <f t="shared" si="1"/>
        <v>291600</v>
      </c>
      <c r="N6" s="61">
        <f t="shared" si="1"/>
        <v>291600</v>
      </c>
    </row>
    <row r="7">
      <c r="B7" s="75" t="s">
        <v>484</v>
      </c>
      <c r="C7" s="61">
        <f t="shared" ref="C7:N7" si="2">C6*0.15</f>
        <v>2160</v>
      </c>
      <c r="D7" s="61">
        <f t="shared" si="2"/>
        <v>3888</v>
      </c>
      <c r="E7" s="61">
        <f t="shared" si="2"/>
        <v>7560</v>
      </c>
      <c r="F7" s="61">
        <f t="shared" si="2"/>
        <v>12960</v>
      </c>
      <c r="G7" s="61">
        <f t="shared" si="2"/>
        <v>14580</v>
      </c>
      <c r="H7" s="61">
        <f t="shared" si="2"/>
        <v>16200</v>
      </c>
      <c r="I7" s="61">
        <f t="shared" si="2"/>
        <v>25740</v>
      </c>
      <c r="J7" s="61">
        <f t="shared" si="2"/>
        <v>28080</v>
      </c>
      <c r="K7" s="61">
        <f t="shared" si="2"/>
        <v>28080</v>
      </c>
      <c r="L7" s="61">
        <f t="shared" si="2"/>
        <v>43740</v>
      </c>
      <c r="M7" s="61">
        <f t="shared" si="2"/>
        <v>43740</v>
      </c>
      <c r="N7" s="61">
        <f t="shared" si="2"/>
        <v>43740</v>
      </c>
    </row>
    <row r="8">
      <c r="B8" s="30" t="s">
        <v>368</v>
      </c>
      <c r="C8" s="35">
        <f t="shared" ref="C8:N8" si="3">C6*0.2</f>
        <v>2880</v>
      </c>
      <c r="D8" s="35">
        <f t="shared" si="3"/>
        <v>5184</v>
      </c>
      <c r="E8" s="35">
        <f t="shared" si="3"/>
        <v>10080</v>
      </c>
      <c r="F8" s="35">
        <f t="shared" si="3"/>
        <v>17280</v>
      </c>
      <c r="G8" s="35">
        <f t="shared" si="3"/>
        <v>19440</v>
      </c>
      <c r="H8" s="35">
        <f t="shared" si="3"/>
        <v>21600</v>
      </c>
      <c r="I8" s="35">
        <f t="shared" si="3"/>
        <v>34320</v>
      </c>
      <c r="J8" s="35">
        <f t="shared" si="3"/>
        <v>37440</v>
      </c>
      <c r="K8" s="35">
        <f t="shared" si="3"/>
        <v>37440</v>
      </c>
      <c r="L8" s="35">
        <f t="shared" si="3"/>
        <v>58320</v>
      </c>
      <c r="M8" s="35">
        <f t="shared" si="3"/>
        <v>58320</v>
      </c>
      <c r="N8" s="35">
        <f t="shared" si="3"/>
        <v>58320</v>
      </c>
    </row>
    <row r="9">
      <c r="B9" s="86" t="s">
        <v>101</v>
      </c>
      <c r="C9" s="128">
        <f t="shared" ref="C9:N9" si="4">C6-C7-C8</f>
        <v>9360</v>
      </c>
      <c r="D9" s="128">
        <f t="shared" si="4"/>
        <v>16848</v>
      </c>
      <c r="E9" s="128">
        <f t="shared" si="4"/>
        <v>32760</v>
      </c>
      <c r="F9" s="128">
        <f t="shared" si="4"/>
        <v>56160</v>
      </c>
      <c r="G9" s="128">
        <f t="shared" si="4"/>
        <v>63180</v>
      </c>
      <c r="H9" s="128">
        <f t="shared" si="4"/>
        <v>70200</v>
      </c>
      <c r="I9" s="128">
        <f t="shared" si="4"/>
        <v>111540</v>
      </c>
      <c r="J9" s="128">
        <f t="shared" si="4"/>
        <v>121680</v>
      </c>
      <c r="K9" s="128">
        <f t="shared" si="4"/>
        <v>121680</v>
      </c>
      <c r="L9" s="128">
        <f t="shared" si="4"/>
        <v>189540</v>
      </c>
      <c r="M9" s="128">
        <f t="shared" si="4"/>
        <v>189540</v>
      </c>
      <c r="N9" s="128">
        <f t="shared" si="4"/>
        <v>189540</v>
      </c>
    </row>
    <row r="10">
      <c r="B10" s="75" t="s">
        <v>485</v>
      </c>
      <c r="C10" s="61">
        <f t="shared" ref="C10:N10" si="5">59*C3</f>
        <v>2360</v>
      </c>
      <c r="D10" s="61">
        <f t="shared" si="5"/>
        <v>3540</v>
      </c>
      <c r="E10" s="61">
        <f t="shared" si="5"/>
        <v>5900</v>
      </c>
      <c r="F10" s="61">
        <f t="shared" si="5"/>
        <v>8850</v>
      </c>
      <c r="G10" s="61">
        <f t="shared" si="5"/>
        <v>8850</v>
      </c>
      <c r="H10" s="61">
        <f t="shared" si="5"/>
        <v>8850</v>
      </c>
      <c r="I10" s="61">
        <f t="shared" si="5"/>
        <v>11800</v>
      </c>
      <c r="J10" s="61">
        <f t="shared" si="5"/>
        <v>11800</v>
      </c>
      <c r="K10" s="61">
        <f t="shared" si="5"/>
        <v>11800</v>
      </c>
      <c r="L10" s="61">
        <f t="shared" si="5"/>
        <v>17700</v>
      </c>
      <c r="M10" s="61">
        <f t="shared" si="5"/>
        <v>17700</v>
      </c>
      <c r="N10" s="61">
        <f t="shared" si="5"/>
        <v>17700</v>
      </c>
    </row>
    <row r="11">
      <c r="B11" s="86" t="s">
        <v>486</v>
      </c>
      <c r="C11" s="128">
        <f t="shared" ref="C11:N11" si="6">C9-C10</f>
        <v>7000</v>
      </c>
      <c r="D11" s="128">
        <f t="shared" si="6"/>
        <v>13308</v>
      </c>
      <c r="E11" s="128">
        <f t="shared" si="6"/>
        <v>26860</v>
      </c>
      <c r="F11" s="128">
        <f t="shared" si="6"/>
        <v>47310</v>
      </c>
      <c r="G11" s="128">
        <f t="shared" si="6"/>
        <v>54330</v>
      </c>
      <c r="H11" s="128">
        <f t="shared" si="6"/>
        <v>61350</v>
      </c>
      <c r="I11" s="128">
        <f t="shared" si="6"/>
        <v>99740</v>
      </c>
      <c r="J11" s="128">
        <f t="shared" si="6"/>
        <v>109880</v>
      </c>
      <c r="K11" s="128">
        <f t="shared" si="6"/>
        <v>109880</v>
      </c>
      <c r="L11" s="128">
        <f t="shared" si="6"/>
        <v>171840</v>
      </c>
      <c r="M11" s="128">
        <f t="shared" si="6"/>
        <v>171840</v>
      </c>
      <c r="N11" s="128">
        <f t="shared" si="6"/>
        <v>171840</v>
      </c>
    </row>
    <row r="12">
      <c r="B12" s="54" t="s">
        <v>487</v>
      </c>
      <c r="C12" s="63">
        <v>3400.0</v>
      </c>
      <c r="D12" s="63">
        <v>3400.0</v>
      </c>
      <c r="E12" s="63">
        <v>3400.0</v>
      </c>
      <c r="F12" s="63">
        <v>7400.0</v>
      </c>
      <c r="G12" s="63">
        <v>7400.0</v>
      </c>
      <c r="H12" s="63">
        <v>7400.0</v>
      </c>
      <c r="I12" s="63">
        <v>10000.0</v>
      </c>
      <c r="J12" s="63">
        <v>10000.0</v>
      </c>
      <c r="K12" s="63">
        <v>10000.0</v>
      </c>
      <c r="L12" s="63">
        <v>15000.0</v>
      </c>
      <c r="M12" s="63">
        <v>15000.0</v>
      </c>
      <c r="N12" s="63">
        <v>15000.0</v>
      </c>
    </row>
    <row r="13">
      <c r="B13" s="75" t="s">
        <v>111</v>
      </c>
      <c r="C13" s="61">
        <f>((D3-C3)*2000)/12</f>
        <v>3333.333333</v>
      </c>
      <c r="D13" s="61">
        <f>(((D3-C3)*2000)/12)+((E3-D3)*2000)/12</f>
        <v>10000</v>
      </c>
      <c r="E13" s="61">
        <f>(((D3-C3)*2000)/12)+((E3-D3)*2000)/12+((F3-E3)*2000)/12</f>
        <v>18333.33333</v>
      </c>
      <c r="F13" s="61">
        <f>(((D3-C3)*2000)/12)+((E3-D3)*2000)/12+((F3-E3)*2000)/12+((G3-F3)*2000)/12</f>
        <v>18333.33333</v>
      </c>
      <c r="G13" s="61">
        <f>(((D3-C3)*2000)/12)+((E3-D3)*2000)/12+((F3-E3)*2000)/12+((G3-F3)*2000)/12+((H3-G3)*2000)/12</f>
        <v>18333.33333</v>
      </c>
      <c r="H13" s="61">
        <f>(((D3-C3)*2000)/12)+((E3-D3)*2000)/12+((F3-E3)*2000)/12+((G3-F3)*2000)/12+((H3-G3)*2000)/12+((I3-H3)*2000)/12</f>
        <v>26666.66667</v>
      </c>
      <c r="I13" s="61">
        <f>(((D3-C3)*2000)/12)+((E3-D3)*2000)/12+((F3-E3)*2000)/12+((G3-F3)*2000)/12+((H3-G3)*2000)/12+((I3-H3)*2000)/12+((J3-I3)*2000)/12</f>
        <v>26666.66667</v>
      </c>
      <c r="J13" s="61">
        <f>(((D3-C3)*2000)/12)+((E3-D3)*2000)/12+((F3-E3)*2000)/12+((G3-F3)*2000)/12+((H3-G3)*2000)/12+((I3-H3)*2000)/12+((J3-I3)*2000)/12+((K3-J3)*2000)/12</f>
        <v>26666.66667</v>
      </c>
      <c r="K13" s="61">
        <f>((((D3-C3)*2000)/12)+((E3-D3)*2000)/12+((F3-E3)*2000)/12+((G3-F3)*2000)/12+((H3-G3)*2000)/12+((I3-H3)*2000)/12+((J3-I3)*2000)/12+((K3-J3)*2000)/12+((L3-K3)*2000)/12)</f>
        <v>43333.33333</v>
      </c>
      <c r="L13" s="61">
        <f>((((D3-C3)*2000)/12)+((E3-D3)*2000)/12+((F3-E3)*2000)/12+((G3-F3)*2000)/12+((H3-G3)*2000)/12+((I3-H3)*2000)/12+((J3-I3)*2000)/12+((K3-J3)*2000)/12+((L3-K3)*2000)/12)+((M3-L3)*2000)/12</f>
        <v>43333.33333</v>
      </c>
      <c r="M13" s="61">
        <f>((((D3-C3)*2000)/12)+((E3-D3)*2000)/12+((F3-E3)*2000)/12+((G3-F3)*2000)/12+((H3-G3)*2000)/12+((I3-H3)*2000)/12+((J3-I3)*2000)/12+((K3-J3)*2000)/12+((L3-K3)*2000)/12)+((M3-L3)*2000)/12+((N3-M3)*2000)/12</f>
        <v>43333.33333</v>
      </c>
      <c r="N13" s="61">
        <f>((((D3-C3)*2000)/12)+((E3-D3)*2000)/12+((F3-E3)*2000)/12+((G3-F3)*2000)/12+((H3-G3)*2000)/12+((I3-H3)*2000)/12+((J3-I3)*2000)/12+((K3-J3)*2000)/12+((L3-K3)*2000)/12)+((M3-L3)*2000)/12+((N3-M3)*2000)/12</f>
        <v>43333.33333</v>
      </c>
    </row>
    <row r="14">
      <c r="B14" s="86" t="s">
        <v>488</v>
      </c>
      <c r="C14" s="128">
        <f t="shared" ref="C14:N14" si="7">C11-C12-C13</f>
        <v>266.6666667</v>
      </c>
      <c r="D14" s="128">
        <f t="shared" si="7"/>
        <v>-92</v>
      </c>
      <c r="E14" s="128">
        <f t="shared" si="7"/>
        <v>5126.666667</v>
      </c>
      <c r="F14" s="128">
        <f t="shared" si="7"/>
        <v>21576.66667</v>
      </c>
      <c r="G14" s="128">
        <f t="shared" si="7"/>
        <v>28596.66667</v>
      </c>
      <c r="H14" s="128">
        <f t="shared" si="7"/>
        <v>27283.33333</v>
      </c>
      <c r="I14" s="128">
        <f t="shared" si="7"/>
        <v>63073.33333</v>
      </c>
      <c r="J14" s="128">
        <f t="shared" si="7"/>
        <v>73213.33333</v>
      </c>
      <c r="K14" s="128">
        <f t="shared" si="7"/>
        <v>56546.66667</v>
      </c>
      <c r="L14" s="128">
        <f t="shared" si="7"/>
        <v>113506.6667</v>
      </c>
      <c r="M14" s="128">
        <f t="shared" si="7"/>
        <v>113506.6667</v>
      </c>
      <c r="N14" s="128">
        <f t="shared" si="7"/>
        <v>113506.6667</v>
      </c>
    </row>
    <row r="15">
      <c r="B15" s="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>
      <c r="B16" s="86" t="s">
        <v>489</v>
      </c>
      <c r="C16" s="68">
        <f t="shared" ref="C16:N16" si="8">C3</f>
        <v>40</v>
      </c>
      <c r="D16" s="68">
        <f t="shared" si="8"/>
        <v>60</v>
      </c>
      <c r="E16" s="68">
        <f t="shared" si="8"/>
        <v>100</v>
      </c>
      <c r="F16" s="68">
        <f t="shared" si="8"/>
        <v>150</v>
      </c>
      <c r="G16" s="68">
        <f t="shared" si="8"/>
        <v>150</v>
      </c>
      <c r="H16" s="68">
        <f t="shared" si="8"/>
        <v>150</v>
      </c>
      <c r="I16" s="68">
        <f t="shared" si="8"/>
        <v>200</v>
      </c>
      <c r="J16" s="68">
        <f t="shared" si="8"/>
        <v>200</v>
      </c>
      <c r="K16" s="68">
        <f t="shared" si="8"/>
        <v>200</v>
      </c>
      <c r="L16" s="68">
        <f t="shared" si="8"/>
        <v>300</v>
      </c>
      <c r="M16" s="68">
        <f t="shared" si="8"/>
        <v>300</v>
      </c>
      <c r="N16" s="68">
        <f t="shared" si="8"/>
        <v>300</v>
      </c>
    </row>
    <row r="17">
      <c r="B17" s="129" t="s">
        <v>490</v>
      </c>
      <c r="C17" s="130">
        <f t="shared" ref="C17:N17" si="9">C16*12*C5</f>
        <v>120</v>
      </c>
      <c r="D17" s="130">
        <f t="shared" si="9"/>
        <v>216</v>
      </c>
      <c r="E17" s="130">
        <f t="shared" si="9"/>
        <v>420</v>
      </c>
      <c r="F17" s="130">
        <f t="shared" si="9"/>
        <v>720</v>
      </c>
      <c r="G17" s="130">
        <f t="shared" si="9"/>
        <v>810</v>
      </c>
      <c r="H17" s="130">
        <f t="shared" si="9"/>
        <v>900</v>
      </c>
      <c r="I17" s="130">
        <f t="shared" si="9"/>
        <v>1320</v>
      </c>
      <c r="J17" s="130">
        <f t="shared" si="9"/>
        <v>1440</v>
      </c>
      <c r="K17" s="130">
        <f t="shared" si="9"/>
        <v>1440</v>
      </c>
      <c r="L17" s="130">
        <f t="shared" si="9"/>
        <v>2160</v>
      </c>
      <c r="M17" s="130">
        <f t="shared" si="9"/>
        <v>2160</v>
      </c>
      <c r="N17" s="130">
        <f t="shared" si="9"/>
        <v>2160</v>
      </c>
    </row>
    <row r="18">
      <c r="B18" s="129" t="s">
        <v>491</v>
      </c>
      <c r="C18" s="131">
        <f t="shared" ref="C18:N18" si="10">C17/3</f>
        <v>40</v>
      </c>
      <c r="D18" s="131">
        <f t="shared" si="10"/>
        <v>72</v>
      </c>
      <c r="E18" s="131">
        <f t="shared" si="10"/>
        <v>140</v>
      </c>
      <c r="F18" s="131">
        <f t="shared" si="10"/>
        <v>240</v>
      </c>
      <c r="G18" s="131">
        <f t="shared" si="10"/>
        <v>270</v>
      </c>
      <c r="H18" s="131">
        <f t="shared" si="10"/>
        <v>300</v>
      </c>
      <c r="I18" s="131">
        <f t="shared" si="10"/>
        <v>440</v>
      </c>
      <c r="J18" s="131">
        <f t="shared" si="10"/>
        <v>480</v>
      </c>
      <c r="K18" s="131">
        <f t="shared" si="10"/>
        <v>480</v>
      </c>
      <c r="L18" s="131">
        <f t="shared" si="10"/>
        <v>720</v>
      </c>
      <c r="M18" s="131">
        <f t="shared" si="10"/>
        <v>720</v>
      </c>
      <c r="N18" s="131">
        <f t="shared" si="10"/>
        <v>720</v>
      </c>
    </row>
    <row r="19">
      <c r="B19" s="129" t="s">
        <v>492</v>
      </c>
      <c r="C19" s="61">
        <f t="shared" ref="C19:N19" si="11">C6/C18</f>
        <v>360</v>
      </c>
      <c r="D19" s="61">
        <f t="shared" si="11"/>
        <v>360</v>
      </c>
      <c r="E19" s="61">
        <f t="shared" si="11"/>
        <v>360</v>
      </c>
      <c r="F19" s="61">
        <f t="shared" si="11"/>
        <v>360</v>
      </c>
      <c r="G19" s="61">
        <f t="shared" si="11"/>
        <v>360</v>
      </c>
      <c r="H19" s="61">
        <f t="shared" si="11"/>
        <v>360</v>
      </c>
      <c r="I19" s="61">
        <f t="shared" si="11"/>
        <v>390</v>
      </c>
      <c r="J19" s="61">
        <f t="shared" si="11"/>
        <v>390</v>
      </c>
      <c r="K19" s="61">
        <f t="shared" si="11"/>
        <v>390</v>
      </c>
      <c r="L19" s="61">
        <f t="shared" si="11"/>
        <v>405</v>
      </c>
      <c r="M19" s="61">
        <f t="shared" si="11"/>
        <v>405</v>
      </c>
      <c r="N19" s="61">
        <f t="shared" si="11"/>
        <v>405</v>
      </c>
    </row>
    <row r="20">
      <c r="B20" s="129" t="s">
        <v>493</v>
      </c>
      <c r="C20" s="131">
        <f t="shared" ref="C20:E20" si="12">C18/1.7</f>
        <v>23.52941176</v>
      </c>
      <c r="D20" s="131">
        <f t="shared" si="12"/>
        <v>42.35294118</v>
      </c>
      <c r="E20" s="131">
        <f t="shared" si="12"/>
        <v>82.35294118</v>
      </c>
      <c r="F20" s="131">
        <f t="shared" ref="F20:H20" si="13">F18/1.9</f>
        <v>126.3157895</v>
      </c>
      <c r="G20" s="131">
        <f t="shared" si="13"/>
        <v>142.1052632</v>
      </c>
      <c r="H20" s="131">
        <f t="shared" si="13"/>
        <v>157.8947368</v>
      </c>
      <c r="I20" s="131">
        <f t="shared" ref="I20:K20" si="14">I18/2</f>
        <v>220</v>
      </c>
      <c r="J20" s="131">
        <f t="shared" si="14"/>
        <v>240</v>
      </c>
      <c r="K20" s="131">
        <f t="shared" si="14"/>
        <v>240</v>
      </c>
      <c r="L20" s="131">
        <f t="shared" ref="L20:N20" si="15">L18/2.1</f>
        <v>342.8571429</v>
      </c>
      <c r="M20" s="131">
        <f t="shared" si="15"/>
        <v>342.8571429</v>
      </c>
      <c r="N20" s="131">
        <f t="shared" si="15"/>
        <v>342.8571429</v>
      </c>
    </row>
    <row r="23">
      <c r="B23" s="68" t="s">
        <v>494</v>
      </c>
      <c r="C23" s="68" t="s">
        <v>495</v>
      </c>
      <c r="D23" s="68" t="s">
        <v>496</v>
      </c>
      <c r="E23" s="13" t="s">
        <v>497</v>
      </c>
    </row>
    <row r="24">
      <c r="B24" s="75" t="s">
        <v>498</v>
      </c>
      <c r="C24" s="68">
        <v>2.0</v>
      </c>
      <c r="D24" s="68">
        <v>547.0</v>
      </c>
      <c r="E24" s="44">
        <f t="shared" ref="E24:E29" si="16">D24/C24</f>
        <v>273.5</v>
      </c>
    </row>
    <row r="25">
      <c r="B25" s="75" t="s">
        <v>499</v>
      </c>
      <c r="C25" s="68">
        <v>1.0</v>
      </c>
      <c r="D25" s="68">
        <v>197.0</v>
      </c>
      <c r="E25" s="44">
        <f t="shared" si="16"/>
        <v>197</v>
      </c>
    </row>
    <row r="26">
      <c r="B26" s="75" t="s">
        <v>500</v>
      </c>
      <c r="C26" s="68">
        <v>3.0</v>
      </c>
      <c r="D26" s="68">
        <v>297.0</v>
      </c>
      <c r="E26" s="44">
        <f t="shared" si="16"/>
        <v>99</v>
      </c>
    </row>
    <row r="27">
      <c r="B27" s="75" t="s">
        <v>501</v>
      </c>
      <c r="C27" s="127">
        <v>11.0</v>
      </c>
      <c r="D27" s="127">
        <v>1497.0</v>
      </c>
      <c r="E27" s="44">
        <f t="shared" si="16"/>
        <v>136.0909091</v>
      </c>
    </row>
    <row r="28">
      <c r="B28" s="75" t="s">
        <v>502</v>
      </c>
      <c r="C28" s="68">
        <v>8.0</v>
      </c>
      <c r="D28" s="127">
        <v>1197.0</v>
      </c>
      <c r="E28" s="44">
        <f t="shared" si="16"/>
        <v>149.625</v>
      </c>
    </row>
    <row r="29">
      <c r="B29" s="30" t="s">
        <v>503</v>
      </c>
      <c r="C29" s="13">
        <v>1.0</v>
      </c>
      <c r="D29" s="13">
        <v>297.0</v>
      </c>
      <c r="E29" s="44">
        <f t="shared" si="16"/>
        <v>297</v>
      </c>
    </row>
    <row r="31">
      <c r="B31" s="30" t="s">
        <v>504</v>
      </c>
      <c r="C31" s="44">
        <f t="shared" ref="C31:E31" si="17">AVERAGE(C24:C29)</f>
        <v>4.333333333</v>
      </c>
      <c r="D31" s="44">
        <f t="shared" si="17"/>
        <v>672</v>
      </c>
      <c r="E31" s="44">
        <f t="shared" si="17"/>
        <v>192.0359848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4.13"/>
  </cols>
  <sheetData>
    <row r="1">
      <c r="A1" s="26"/>
      <c r="B1" s="26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6"/>
      <c r="C2" s="31" t="s">
        <v>81</v>
      </c>
      <c r="D2" s="31" t="s">
        <v>505</v>
      </c>
      <c r="E2" s="31" t="s">
        <v>83</v>
      </c>
      <c r="F2" s="31" t="s">
        <v>506</v>
      </c>
      <c r="G2" s="31" t="s">
        <v>507</v>
      </c>
      <c r="H2" s="31" t="s">
        <v>508</v>
      </c>
      <c r="I2" s="31" t="s">
        <v>509</v>
      </c>
      <c r="J2" s="31" t="s">
        <v>510</v>
      </c>
      <c r="K2" s="31" t="s">
        <v>511</v>
      </c>
      <c r="L2" s="31" t="s">
        <v>512</v>
      </c>
      <c r="M2" s="31" t="s">
        <v>513</v>
      </c>
      <c r="N2" s="31" t="s">
        <v>514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B3" s="12" t="s">
        <v>515</v>
      </c>
      <c r="C3" s="34">
        <v>10000.0</v>
      </c>
      <c r="D3" s="34">
        <v>10000.0</v>
      </c>
      <c r="E3" s="34">
        <v>10000.0</v>
      </c>
      <c r="F3" s="34">
        <v>10000.0</v>
      </c>
      <c r="G3" s="34">
        <v>10000.0</v>
      </c>
      <c r="H3" s="34">
        <v>10000.0</v>
      </c>
      <c r="I3" s="34">
        <v>10000.0</v>
      </c>
      <c r="J3" s="34">
        <v>10000.0</v>
      </c>
      <c r="K3" s="34">
        <v>10000.0</v>
      </c>
      <c r="L3" s="34">
        <v>10000.0</v>
      </c>
      <c r="M3" s="34">
        <v>10000.0</v>
      </c>
      <c r="N3" s="34">
        <v>10000.0</v>
      </c>
    </row>
    <row r="4">
      <c r="B4" s="12" t="s">
        <v>516</v>
      </c>
      <c r="C4" s="34"/>
      <c r="D4" s="34">
        <v>40000.0</v>
      </c>
      <c r="E4" s="35"/>
      <c r="F4" s="35"/>
      <c r="G4" s="34">
        <v>40000.0</v>
      </c>
      <c r="H4" s="35"/>
      <c r="I4" s="35"/>
      <c r="J4" s="34">
        <v>40000.0</v>
      </c>
      <c r="K4" s="35"/>
      <c r="L4" s="35"/>
      <c r="M4" s="34">
        <v>40000.0</v>
      </c>
      <c r="N4" s="35"/>
    </row>
    <row r="5">
      <c r="B5" s="12" t="s">
        <v>517</v>
      </c>
      <c r="C5" s="34">
        <v>3500.0</v>
      </c>
      <c r="D5" s="34">
        <v>3500.0</v>
      </c>
      <c r="E5" s="34">
        <v>3500.0</v>
      </c>
      <c r="F5" s="34">
        <v>3500.0</v>
      </c>
      <c r="G5" s="34">
        <v>3500.0</v>
      </c>
      <c r="H5" s="34">
        <v>3500.0</v>
      </c>
      <c r="I5" s="34">
        <v>3500.0</v>
      </c>
      <c r="J5" s="34">
        <v>3500.0</v>
      </c>
      <c r="K5" s="34">
        <v>3500.0</v>
      </c>
      <c r="L5" s="34">
        <v>3500.0</v>
      </c>
      <c r="M5" s="34">
        <v>3500.0</v>
      </c>
      <c r="N5" s="34">
        <v>3500.0</v>
      </c>
    </row>
    <row r="6">
      <c r="B6" s="12" t="s">
        <v>518</v>
      </c>
      <c r="C6" s="34">
        <v>2000.0</v>
      </c>
      <c r="D6" s="34">
        <v>2000.0</v>
      </c>
      <c r="E6" s="34">
        <v>2000.0</v>
      </c>
      <c r="F6" s="34">
        <v>2000.0</v>
      </c>
      <c r="G6" s="34">
        <v>2000.0</v>
      </c>
      <c r="H6" s="34">
        <v>2000.0</v>
      </c>
      <c r="I6" s="34">
        <v>2000.0</v>
      </c>
      <c r="J6" s="34">
        <v>2000.0</v>
      </c>
      <c r="K6" s="34">
        <v>2000.0</v>
      </c>
      <c r="L6" s="34">
        <v>2000.0</v>
      </c>
      <c r="M6" s="34">
        <v>2000.0</v>
      </c>
      <c r="N6" s="34">
        <v>2000.0</v>
      </c>
    </row>
    <row r="7">
      <c r="B7" s="12" t="s">
        <v>519</v>
      </c>
      <c r="C7" s="34">
        <v>5000.0</v>
      </c>
      <c r="D7" s="34">
        <v>5000.0</v>
      </c>
      <c r="E7" s="34">
        <v>5000.0</v>
      </c>
      <c r="F7" s="34">
        <v>6000.0</v>
      </c>
      <c r="G7" s="34">
        <v>6000.0</v>
      </c>
      <c r="H7" s="34">
        <v>6000.0</v>
      </c>
      <c r="I7" s="34">
        <v>7000.0</v>
      </c>
      <c r="J7" s="34">
        <v>7000.0</v>
      </c>
      <c r="K7" s="34">
        <v>7000.0</v>
      </c>
      <c r="L7" s="34">
        <v>8000.0</v>
      </c>
      <c r="M7" s="34">
        <v>8000.0</v>
      </c>
      <c r="N7" s="34">
        <v>8000.0</v>
      </c>
    </row>
    <row r="8">
      <c r="B8" s="12" t="s">
        <v>520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>
      <c r="B9" s="12" t="s">
        <v>521</v>
      </c>
      <c r="C9" s="34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</row>
    <row r="10">
      <c r="B10" s="12" t="s">
        <v>522</v>
      </c>
      <c r="C10" s="34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>
      <c r="B11" s="12" t="s">
        <v>523</v>
      </c>
      <c r="C11" s="34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</row>
    <row r="12">
      <c r="B12" s="12" t="s">
        <v>524</v>
      </c>
      <c r="C12" s="34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>
      <c r="B13" s="12" t="s">
        <v>525</v>
      </c>
      <c r="C13" s="34">
        <f>Turbooh!C14</f>
        <v>266.6666667</v>
      </c>
      <c r="D13" s="34">
        <f>Turbooh!D14</f>
        <v>-92</v>
      </c>
      <c r="E13" s="34">
        <f>Turbooh!E14</f>
        <v>5126.666667</v>
      </c>
      <c r="F13" s="34">
        <f>Turbooh!F14</f>
        <v>21576.66667</v>
      </c>
      <c r="G13" s="34">
        <f>Turbooh!G14</f>
        <v>28596.66667</v>
      </c>
      <c r="H13" s="34">
        <f>Turbooh!H14</f>
        <v>27283.33333</v>
      </c>
      <c r="I13" s="34">
        <f>Turbooh!I14</f>
        <v>63073.33333</v>
      </c>
      <c r="J13" s="34">
        <f>Turbooh!J14</f>
        <v>73213.33333</v>
      </c>
      <c r="K13" s="34">
        <f>Turbooh!K14</f>
        <v>56546.66667</v>
      </c>
      <c r="L13" s="34">
        <f>Turbooh!L14</f>
        <v>113506.6667</v>
      </c>
      <c r="M13" s="34">
        <f>Turbooh!M14</f>
        <v>113506.6667</v>
      </c>
      <c r="N13" s="34">
        <f>Turbooh!N14</f>
        <v>113506.6667</v>
      </c>
      <c r="O13" s="32"/>
    </row>
    <row r="14">
      <c r="B14" s="12" t="s">
        <v>526</v>
      </c>
      <c r="C14" s="34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>
      <c r="B15" s="133" t="s">
        <v>527</v>
      </c>
      <c r="C15" s="134">
        <f t="shared" ref="C15:N15" si="1">sum(C3:C14)</f>
        <v>20766.66667</v>
      </c>
      <c r="D15" s="134">
        <f t="shared" si="1"/>
        <v>60408</v>
      </c>
      <c r="E15" s="134">
        <f t="shared" si="1"/>
        <v>25626.66667</v>
      </c>
      <c r="F15" s="134">
        <f t="shared" si="1"/>
        <v>43076.66667</v>
      </c>
      <c r="G15" s="134">
        <f t="shared" si="1"/>
        <v>90096.66667</v>
      </c>
      <c r="H15" s="134">
        <f t="shared" si="1"/>
        <v>48783.33333</v>
      </c>
      <c r="I15" s="134">
        <f t="shared" si="1"/>
        <v>85573.33333</v>
      </c>
      <c r="J15" s="134">
        <f t="shared" si="1"/>
        <v>135713.3333</v>
      </c>
      <c r="K15" s="134">
        <f t="shared" si="1"/>
        <v>79046.66667</v>
      </c>
      <c r="L15" s="134">
        <f t="shared" si="1"/>
        <v>137006.6667</v>
      </c>
      <c r="M15" s="134">
        <f t="shared" si="1"/>
        <v>177006.6667</v>
      </c>
      <c r="N15" s="134">
        <f t="shared" si="1"/>
        <v>137006.6667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5"/>
    <col customWidth="1" min="2" max="2" width="23.38"/>
    <col customWidth="1" min="3" max="3" width="14.75"/>
  </cols>
  <sheetData>
    <row r="2">
      <c r="B2" s="52" t="s">
        <v>371</v>
      </c>
      <c r="C2" s="109">
        <v>80000.0</v>
      </c>
      <c r="D2" s="62">
        <v>100000.0</v>
      </c>
      <c r="E2" s="62">
        <v>100000.0</v>
      </c>
      <c r="F2" s="109">
        <v>110000.0</v>
      </c>
      <c r="G2" s="109">
        <v>110000.0</v>
      </c>
      <c r="H2" s="109">
        <v>110000.0</v>
      </c>
      <c r="I2" s="109">
        <v>120000.0</v>
      </c>
      <c r="J2" s="109">
        <v>120000.0</v>
      </c>
      <c r="K2" s="109">
        <v>120000.0</v>
      </c>
      <c r="L2" s="109">
        <v>130000.0</v>
      </c>
      <c r="M2" s="109">
        <v>130000.0</v>
      </c>
      <c r="N2" s="109">
        <v>130000.0</v>
      </c>
      <c r="O2" s="135">
        <f t="shared" ref="O2:O5" si="1">SUM(C2:N2)</f>
        <v>1360000</v>
      </c>
    </row>
    <row r="3">
      <c r="B3" s="136" t="s">
        <v>372</v>
      </c>
      <c r="C3" s="111">
        <v>5000.0</v>
      </c>
      <c r="D3" s="111">
        <v>5000.0</v>
      </c>
      <c r="E3" s="111">
        <v>25000.0</v>
      </c>
      <c r="F3" s="111">
        <v>15000.0</v>
      </c>
      <c r="G3" s="111">
        <v>100000.0</v>
      </c>
      <c r="H3" s="111">
        <v>40000.0</v>
      </c>
      <c r="I3" s="111">
        <v>100000.0</v>
      </c>
      <c r="J3" s="111">
        <v>15000.0</v>
      </c>
      <c r="K3" s="111">
        <v>25000.0</v>
      </c>
      <c r="L3" s="111">
        <v>20000.0</v>
      </c>
      <c r="M3" s="111">
        <v>5000.0</v>
      </c>
      <c r="N3" s="111">
        <v>25000.0</v>
      </c>
      <c r="O3" s="135">
        <f t="shared" si="1"/>
        <v>380000</v>
      </c>
    </row>
    <row r="4">
      <c r="B4" s="136" t="s">
        <v>374</v>
      </c>
      <c r="C4" s="111">
        <v>10000.0</v>
      </c>
      <c r="D4" s="111">
        <v>10000.0</v>
      </c>
      <c r="E4" s="111">
        <v>10000.0</v>
      </c>
      <c r="F4" s="111">
        <v>10000.0</v>
      </c>
      <c r="G4" s="111">
        <v>10000.0</v>
      </c>
      <c r="H4" s="111">
        <v>10000.0</v>
      </c>
      <c r="I4" s="111">
        <v>15000.0</v>
      </c>
      <c r="J4" s="111">
        <v>15000.0</v>
      </c>
      <c r="K4" s="111">
        <v>15000.0</v>
      </c>
      <c r="L4" s="111">
        <v>30000.0</v>
      </c>
      <c r="M4" s="111">
        <v>30000.0</v>
      </c>
      <c r="N4" s="111">
        <v>30000.0</v>
      </c>
      <c r="O4" s="135">
        <f t="shared" si="1"/>
        <v>195000</v>
      </c>
    </row>
    <row r="5">
      <c r="B5" s="137" t="s">
        <v>93</v>
      </c>
      <c r="C5" s="135">
        <f t="shared" ref="C5:N5" si="2">SUM(C2:C4)</f>
        <v>95000</v>
      </c>
      <c r="D5" s="135">
        <f t="shared" si="2"/>
        <v>115000</v>
      </c>
      <c r="E5" s="135">
        <f t="shared" si="2"/>
        <v>135000</v>
      </c>
      <c r="F5" s="135">
        <f t="shared" si="2"/>
        <v>135000</v>
      </c>
      <c r="G5" s="135">
        <f t="shared" si="2"/>
        <v>220000</v>
      </c>
      <c r="H5" s="135">
        <f t="shared" si="2"/>
        <v>160000</v>
      </c>
      <c r="I5" s="135">
        <f t="shared" si="2"/>
        <v>235000</v>
      </c>
      <c r="J5" s="135">
        <f t="shared" si="2"/>
        <v>150000</v>
      </c>
      <c r="K5" s="135">
        <f t="shared" si="2"/>
        <v>160000</v>
      </c>
      <c r="L5" s="135">
        <f t="shared" si="2"/>
        <v>180000</v>
      </c>
      <c r="M5" s="135">
        <f t="shared" si="2"/>
        <v>165000</v>
      </c>
      <c r="N5" s="135">
        <f t="shared" si="2"/>
        <v>185000</v>
      </c>
      <c r="O5" s="135">
        <f t="shared" si="1"/>
        <v>1935000</v>
      </c>
    </row>
    <row r="7">
      <c r="B7" s="138" t="s">
        <v>528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>
      <c r="B8" s="139" t="s">
        <v>76</v>
      </c>
      <c r="C8" s="140" t="s">
        <v>77</v>
      </c>
      <c r="D8" s="7"/>
      <c r="E8" s="8"/>
      <c r="F8" s="140" t="s">
        <v>78</v>
      </c>
      <c r="G8" s="7"/>
      <c r="H8" s="8"/>
      <c r="I8" s="140" t="s">
        <v>79</v>
      </c>
      <c r="J8" s="7"/>
      <c r="K8" s="8"/>
      <c r="L8" s="140" t="s">
        <v>80</v>
      </c>
      <c r="M8" s="7"/>
      <c r="N8" s="8"/>
    </row>
    <row r="9">
      <c r="B9" s="139" t="s">
        <v>141</v>
      </c>
      <c r="C9" s="141" t="s">
        <v>81</v>
      </c>
      <c r="D9" s="141" t="s">
        <v>505</v>
      </c>
      <c r="E9" s="141" t="s">
        <v>83</v>
      </c>
      <c r="F9" s="141" t="s">
        <v>84</v>
      </c>
      <c r="G9" s="141" t="s">
        <v>85</v>
      </c>
      <c r="H9" s="141" t="s">
        <v>86</v>
      </c>
      <c r="I9" s="141" t="s">
        <v>87</v>
      </c>
      <c r="J9" s="141" t="s">
        <v>88</v>
      </c>
      <c r="K9" s="141" t="s">
        <v>89</v>
      </c>
      <c r="L9" s="141" t="s">
        <v>90</v>
      </c>
      <c r="M9" s="141" t="s">
        <v>91</v>
      </c>
      <c r="N9" s="141" t="s">
        <v>92</v>
      </c>
    </row>
    <row r="10">
      <c r="B10" s="69" t="s">
        <v>529</v>
      </c>
      <c r="C10" s="142">
        <v>0.0</v>
      </c>
      <c r="D10" s="142">
        <f t="shared" ref="D10:N10" si="3">SUM(D11:D60)</f>
        <v>5000</v>
      </c>
      <c r="E10" s="142">
        <f t="shared" si="3"/>
        <v>25000</v>
      </c>
      <c r="F10" s="142">
        <f t="shared" si="3"/>
        <v>15000</v>
      </c>
      <c r="G10" s="142">
        <f t="shared" si="3"/>
        <v>100000</v>
      </c>
      <c r="H10" s="142">
        <f t="shared" si="3"/>
        <v>40000</v>
      </c>
      <c r="I10" s="142">
        <f t="shared" si="3"/>
        <v>100000</v>
      </c>
      <c r="J10" s="142">
        <f t="shared" si="3"/>
        <v>15000</v>
      </c>
      <c r="K10" s="142">
        <f t="shared" si="3"/>
        <v>25000</v>
      </c>
      <c r="L10" s="142">
        <f t="shared" si="3"/>
        <v>20000</v>
      </c>
      <c r="M10" s="142">
        <f t="shared" si="3"/>
        <v>5000</v>
      </c>
      <c r="N10" s="142">
        <f t="shared" si="3"/>
        <v>25000</v>
      </c>
    </row>
    <row r="11" collapsed="1">
      <c r="B11" s="143" t="s">
        <v>530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</row>
    <row r="12" hidden="1" outlineLevel="1">
      <c r="B12" s="145" t="s">
        <v>531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</row>
    <row r="13" hidden="1" outlineLevel="1">
      <c r="B13" s="145" t="s">
        <v>532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4" hidden="1" outlineLevel="1">
      <c r="B14" s="145" t="s">
        <v>533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</row>
    <row r="15" hidden="1" outlineLevel="1">
      <c r="B15" s="145" t="s">
        <v>534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</row>
    <row r="16" hidden="1" outlineLevel="1">
      <c r="B16" s="145" t="s">
        <v>535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hidden="1" outlineLevel="1">
      <c r="B17" s="145" t="s">
        <v>536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</row>
    <row r="18" hidden="1" outlineLevel="1">
      <c r="B18" s="145" t="s">
        <v>537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</row>
    <row r="19" hidden="1" outlineLevel="1">
      <c r="B19" s="145" t="s">
        <v>538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</row>
    <row r="20" ht="16.5" customHeight="1" collapsed="1">
      <c r="B20" s="143" t="s">
        <v>539</v>
      </c>
      <c r="C20" s="144"/>
      <c r="D20" s="144"/>
      <c r="E20" s="144"/>
      <c r="F20" s="144"/>
      <c r="G20" s="146">
        <v>100000.0</v>
      </c>
      <c r="H20" s="144"/>
      <c r="I20" s="146">
        <v>100000.0</v>
      </c>
      <c r="J20" s="144"/>
      <c r="K20" s="144"/>
      <c r="L20" s="144"/>
      <c r="M20" s="144"/>
      <c r="N20" s="144"/>
    </row>
    <row r="21" hidden="1" outlineLevel="1">
      <c r="B21" s="145" t="s">
        <v>540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</row>
    <row r="22" hidden="1" outlineLevel="1">
      <c r="B22" s="145" t="s">
        <v>541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</row>
    <row r="23" hidden="1" outlineLevel="1">
      <c r="B23" s="145" t="s">
        <v>542</v>
      </c>
      <c r="C23" s="147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hidden="1" outlineLevel="1">
      <c r="B24" s="145" t="s">
        <v>543</v>
      </c>
      <c r="C24" s="69"/>
      <c r="D24" s="69"/>
      <c r="E24" s="69"/>
      <c r="F24" s="69"/>
      <c r="G24" s="147"/>
      <c r="H24" s="69"/>
      <c r="I24" s="69"/>
      <c r="J24" s="69"/>
      <c r="K24" s="69"/>
      <c r="L24" s="69"/>
      <c r="M24" s="69"/>
      <c r="N24" s="69"/>
    </row>
    <row r="25" hidden="1" outlineLevel="1">
      <c r="B25" s="145" t="s">
        <v>544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</row>
    <row r="26" hidden="1" outlineLevel="1">
      <c r="B26" s="145" t="s">
        <v>545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</row>
    <row r="27" hidden="1" outlineLevel="1">
      <c r="B27" s="145" t="s">
        <v>546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</row>
    <row r="28" hidden="1" outlineLevel="1">
      <c r="B28" s="145" t="s">
        <v>538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</row>
    <row r="29" collapsed="1">
      <c r="B29" s="148" t="s">
        <v>547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</row>
    <row r="30" hidden="1" outlineLevel="1">
      <c r="B30" s="149" t="s">
        <v>546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</row>
    <row r="31" hidden="1" outlineLevel="1">
      <c r="B31" s="145" t="s">
        <v>536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</row>
    <row r="32" hidden="1" outlineLevel="1">
      <c r="B32" s="145" t="s">
        <v>548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</row>
    <row r="33" hidden="1" outlineLevel="1">
      <c r="B33" s="145" t="s">
        <v>549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</row>
    <row r="34" hidden="1" outlineLevel="1">
      <c r="B34" s="145" t="s">
        <v>550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</row>
    <row r="35" hidden="1" outlineLevel="1">
      <c r="B35" s="145" t="s">
        <v>551</v>
      </c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</row>
    <row r="36" hidden="1" outlineLevel="1">
      <c r="B36" s="145" t="s">
        <v>552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</row>
    <row r="37" hidden="1" outlineLevel="1">
      <c r="B37" s="145" t="s">
        <v>538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</row>
    <row r="38" collapsed="1">
      <c r="B38" s="143" t="s">
        <v>553</v>
      </c>
      <c r="C38" s="144"/>
      <c r="D38" s="144"/>
      <c r="E38" s="144"/>
      <c r="F38" s="146">
        <v>10000.0</v>
      </c>
      <c r="G38" s="144"/>
      <c r="H38" s="146">
        <v>10000.0</v>
      </c>
      <c r="I38" s="144"/>
      <c r="J38" s="146">
        <v>10000.0</v>
      </c>
      <c r="K38" s="144"/>
      <c r="L38" s="144"/>
      <c r="M38" s="144"/>
      <c r="N38" s="144"/>
    </row>
    <row r="39" hidden="1" outlineLevel="1">
      <c r="B39" s="145" t="s">
        <v>540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</row>
    <row r="40" hidden="1" outlineLevel="1">
      <c r="B40" s="145" t="s">
        <v>541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</row>
    <row r="41" hidden="1" outlineLevel="1">
      <c r="B41" s="145" t="s">
        <v>542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</row>
    <row r="42" hidden="1" outlineLevel="1">
      <c r="B42" s="145" t="s">
        <v>543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</row>
    <row r="43" hidden="1" outlineLevel="1">
      <c r="B43" s="145" t="s">
        <v>544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</row>
    <row r="44" hidden="1" outlineLevel="1">
      <c r="B44" s="145" t="s">
        <v>545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</row>
    <row r="45" hidden="1" outlineLevel="1">
      <c r="B45" s="145" t="s">
        <v>538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collapsed="1">
      <c r="B46" s="143" t="s">
        <v>554</v>
      </c>
      <c r="C46" s="144"/>
      <c r="D46" s="144"/>
      <c r="E46" s="150">
        <v>25000.0</v>
      </c>
      <c r="F46" s="144"/>
      <c r="G46" s="144"/>
      <c r="H46" s="146">
        <v>25000.0</v>
      </c>
      <c r="I46" s="144"/>
      <c r="J46" s="144"/>
      <c r="K46" s="146">
        <v>25000.0</v>
      </c>
      <c r="L46" s="144"/>
      <c r="M46" s="144"/>
      <c r="N46" s="146">
        <v>25000.0</v>
      </c>
    </row>
    <row r="47" hidden="1" outlineLevel="1">
      <c r="B47" s="145" t="s">
        <v>531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</row>
    <row r="48" hidden="1" outlineLevel="1">
      <c r="B48" s="145" t="s">
        <v>532</v>
      </c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  <row r="49" hidden="1" outlineLevel="1">
      <c r="B49" s="145" t="s">
        <v>555</v>
      </c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  <row r="50" hidden="1" outlineLevel="1">
      <c r="B50" s="145" t="s">
        <v>556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  <row r="51" hidden="1" outlineLevel="1">
      <c r="B51" s="145" t="s">
        <v>536</v>
      </c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</row>
    <row r="52" hidden="1" outlineLevel="1">
      <c r="B52" s="145" t="s">
        <v>557</v>
      </c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</row>
    <row r="53" hidden="1" outlineLevel="1">
      <c r="B53" s="145" t="s">
        <v>534</v>
      </c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</row>
    <row r="54" hidden="1" outlineLevel="1">
      <c r="B54" s="145" t="s">
        <v>538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</row>
    <row r="55" collapsed="1">
      <c r="B55" s="143" t="s">
        <v>558</v>
      </c>
      <c r="C55" s="144"/>
      <c r="D55" s="146">
        <v>5000.0</v>
      </c>
      <c r="E55" s="144"/>
      <c r="F55" s="146">
        <v>5000.0</v>
      </c>
      <c r="G55" s="144"/>
      <c r="H55" s="146">
        <v>5000.0</v>
      </c>
      <c r="I55" s="144"/>
      <c r="J55" s="146">
        <v>5000.0</v>
      </c>
      <c r="K55" s="144"/>
      <c r="L55" s="146">
        <v>5000.0</v>
      </c>
      <c r="M55" s="146">
        <v>5000.0</v>
      </c>
      <c r="N55" s="144"/>
    </row>
    <row r="56" hidden="1" outlineLevel="1">
      <c r="B56" s="13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hidden="1" outlineLevel="1">
      <c r="B57" s="13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</row>
    <row r="58" collapsed="1">
      <c r="B58" s="143" t="s">
        <v>559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6">
        <v>15000.0</v>
      </c>
      <c r="M58" s="144"/>
      <c r="N58" s="144"/>
    </row>
    <row r="59" hidden="1" outlineLevel="1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</row>
    <row r="60" hidden="1" outlineLevel="1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</row>
    <row r="61">
      <c r="B61" s="5"/>
      <c r="C61" s="151">
        <f t="shared" ref="C61:N61" si="4">SUM(C11:C58)/0.2</f>
        <v>0</v>
      </c>
      <c r="D61" s="151">
        <f t="shared" si="4"/>
        <v>25000</v>
      </c>
      <c r="E61" s="151">
        <f t="shared" si="4"/>
        <v>125000</v>
      </c>
      <c r="F61" s="151">
        <f t="shared" si="4"/>
        <v>75000</v>
      </c>
      <c r="G61" s="151">
        <f t="shared" si="4"/>
        <v>500000</v>
      </c>
      <c r="H61" s="151">
        <f t="shared" si="4"/>
        <v>200000</v>
      </c>
      <c r="I61" s="151">
        <f t="shared" si="4"/>
        <v>500000</v>
      </c>
      <c r="J61" s="151">
        <f t="shared" si="4"/>
        <v>75000</v>
      </c>
      <c r="K61" s="151">
        <f t="shared" si="4"/>
        <v>125000</v>
      </c>
      <c r="L61" s="151">
        <f t="shared" si="4"/>
        <v>100000</v>
      </c>
      <c r="M61" s="151">
        <f t="shared" si="4"/>
        <v>25000</v>
      </c>
      <c r="N61" s="151">
        <f t="shared" si="4"/>
        <v>125000</v>
      </c>
    </row>
    <row r="62">
      <c r="B62" s="5"/>
      <c r="C62" s="5"/>
      <c r="D62" s="5"/>
      <c r="E62" s="5"/>
      <c r="F62" s="5"/>
      <c r="G62" s="151">
        <f t="shared" ref="G62:H62" si="5">G61/5</f>
        <v>100000</v>
      </c>
      <c r="H62" s="151">
        <f t="shared" si="5"/>
        <v>40000</v>
      </c>
      <c r="I62" s="5"/>
      <c r="J62" s="5"/>
      <c r="K62" s="5"/>
      <c r="L62" s="5"/>
      <c r="M62" s="5"/>
      <c r="N62" s="5"/>
    </row>
    <row r="64">
      <c r="B64" s="31" t="s">
        <v>554</v>
      </c>
      <c r="C64" s="34">
        <v>100000.0</v>
      </c>
      <c r="D64" s="73" t="s">
        <v>560</v>
      </c>
      <c r="E64" s="73" t="s">
        <v>561</v>
      </c>
      <c r="F64" s="152"/>
    </row>
    <row r="65">
      <c r="B65" s="31" t="s">
        <v>530</v>
      </c>
      <c r="C65" s="34">
        <v>300000.0</v>
      </c>
      <c r="D65" s="73" t="s">
        <v>562</v>
      </c>
      <c r="E65" s="4" t="s">
        <v>563</v>
      </c>
      <c r="F65" s="5"/>
    </row>
    <row r="66">
      <c r="B66" s="31" t="s">
        <v>539</v>
      </c>
      <c r="C66" s="34">
        <v>200000.0</v>
      </c>
      <c r="D66" s="73" t="s">
        <v>564</v>
      </c>
      <c r="E66" s="5" t="s">
        <v>565</v>
      </c>
      <c r="F66" s="5"/>
    </row>
    <row r="67">
      <c r="B67" s="31" t="s">
        <v>566</v>
      </c>
      <c r="C67" s="34">
        <v>15000.0</v>
      </c>
      <c r="D67" s="73" t="s">
        <v>562</v>
      </c>
      <c r="E67" s="5" t="s">
        <v>567</v>
      </c>
      <c r="F67" s="73"/>
    </row>
    <row r="68">
      <c r="B68" s="31" t="s">
        <v>553</v>
      </c>
      <c r="C68" s="34">
        <v>30000.0</v>
      </c>
      <c r="D68" s="73" t="s">
        <v>568</v>
      </c>
      <c r="E68" s="73" t="s">
        <v>569</v>
      </c>
      <c r="F68" s="5"/>
    </row>
    <row r="69">
      <c r="B69" s="31" t="s">
        <v>558</v>
      </c>
      <c r="C69" s="34">
        <v>30000.0</v>
      </c>
      <c r="D69" s="73" t="s">
        <v>570</v>
      </c>
      <c r="E69" s="5" t="s">
        <v>571</v>
      </c>
      <c r="F69" s="73"/>
    </row>
    <row r="71">
      <c r="B71" s="5" t="s">
        <v>572</v>
      </c>
      <c r="C71" s="20">
        <v>100000.0</v>
      </c>
    </row>
    <row r="72">
      <c r="B72" s="5" t="s">
        <v>573</v>
      </c>
      <c r="C72" s="20">
        <v>80000.0</v>
      </c>
    </row>
    <row r="73">
      <c r="B73" s="5" t="s">
        <v>574</v>
      </c>
      <c r="C73" s="20">
        <v>50000.0</v>
      </c>
      <c r="G73" s="26"/>
    </row>
    <row r="74">
      <c r="B74" s="5" t="s">
        <v>575</v>
      </c>
      <c r="C74" s="20">
        <v>60000.0</v>
      </c>
      <c r="F74" s="2" t="s">
        <v>576</v>
      </c>
      <c r="G74" s="32" t="s">
        <v>577</v>
      </c>
      <c r="H74" s="2" t="s">
        <v>578</v>
      </c>
    </row>
    <row r="75">
      <c r="B75" s="5" t="s">
        <v>579</v>
      </c>
      <c r="C75" s="20">
        <f>2000*12</f>
        <v>24000</v>
      </c>
      <c r="F75" s="2" t="s">
        <v>580</v>
      </c>
      <c r="G75" s="32" t="s">
        <v>581</v>
      </c>
    </row>
    <row r="76">
      <c r="B76" s="5" t="s">
        <v>582</v>
      </c>
      <c r="C76" s="20"/>
      <c r="F76" s="2" t="s">
        <v>583</v>
      </c>
      <c r="G76" s="32">
        <v>2000.0</v>
      </c>
    </row>
  </sheetData>
  <mergeCells count="5">
    <mergeCell ref="B7:N7"/>
    <mergeCell ref="C8:E8"/>
    <mergeCell ref="F8:H8"/>
    <mergeCell ref="I8:K8"/>
    <mergeCell ref="L8:N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28.88"/>
    <col customWidth="1" min="16" max="16" width="2.5"/>
    <col customWidth="1" min="17" max="17" width="24.88"/>
  </cols>
  <sheetData>
    <row r="1">
      <c r="B1" s="1"/>
      <c r="C1" s="31" t="s">
        <v>81</v>
      </c>
      <c r="D1" s="31" t="s">
        <v>82</v>
      </c>
      <c r="E1" s="31" t="s">
        <v>83</v>
      </c>
      <c r="F1" s="31" t="s">
        <v>84</v>
      </c>
      <c r="G1" s="31" t="s">
        <v>85</v>
      </c>
      <c r="H1" s="31" t="s">
        <v>86</v>
      </c>
      <c r="I1" s="31" t="s">
        <v>87</v>
      </c>
      <c r="J1" s="31" t="s">
        <v>88</v>
      </c>
      <c r="K1" s="31" t="s">
        <v>89</v>
      </c>
      <c r="L1" s="31" t="s">
        <v>90</v>
      </c>
      <c r="M1" s="31" t="s">
        <v>91</v>
      </c>
      <c r="N1" s="31" t="s">
        <v>92</v>
      </c>
      <c r="R1" s="31" t="s">
        <v>81</v>
      </c>
      <c r="S1" s="31" t="s">
        <v>82</v>
      </c>
      <c r="T1" s="31" t="s">
        <v>83</v>
      </c>
      <c r="U1" s="31" t="s">
        <v>84</v>
      </c>
      <c r="V1" s="31" t="s">
        <v>85</v>
      </c>
      <c r="W1" s="31" t="s">
        <v>86</v>
      </c>
      <c r="X1" s="31" t="s">
        <v>87</v>
      </c>
      <c r="Y1" s="31" t="s">
        <v>88</v>
      </c>
      <c r="Z1" s="31" t="s">
        <v>89</v>
      </c>
      <c r="AA1" s="31" t="s">
        <v>90</v>
      </c>
      <c r="AB1" s="31" t="s">
        <v>91</v>
      </c>
      <c r="AC1" s="31" t="s">
        <v>92</v>
      </c>
    </row>
    <row r="2">
      <c r="B2" s="12" t="s">
        <v>209</v>
      </c>
      <c r="C2" s="72">
        <f>count(CSV!D25:D50)</f>
        <v>17</v>
      </c>
      <c r="D2" s="72">
        <f>count(CSV!E25:E50)</f>
        <v>19</v>
      </c>
      <c r="E2" s="72">
        <f>count(CSV!F25:F50)</f>
        <v>20</v>
      </c>
      <c r="F2" s="72">
        <f>count(CSV!G25:G50)</f>
        <v>20</v>
      </c>
      <c r="G2" s="72">
        <f>count(CSV!H25:H50)</f>
        <v>21</v>
      </c>
      <c r="H2" s="72">
        <f>count(CSV!I25:I50)</f>
        <v>21</v>
      </c>
      <c r="I2" s="72">
        <f>count(CSV!J25:J50)</f>
        <v>22</v>
      </c>
      <c r="J2" s="72">
        <f>count(CSV!K25:K50)</f>
        <v>22</v>
      </c>
      <c r="K2" s="72">
        <f>count(CSV!L25:L50)</f>
        <v>23</v>
      </c>
      <c r="L2" s="72">
        <f>count(CSV!M25:M50)</f>
        <v>24</v>
      </c>
      <c r="M2" s="72">
        <f>count(CSV!N25:N50)</f>
        <v>24</v>
      </c>
      <c r="N2" s="72">
        <f>count(CSV!O25:O50)</f>
        <v>25</v>
      </c>
      <c r="Q2" s="12" t="s">
        <v>209</v>
      </c>
      <c r="R2" s="72">
        <f>SUMPRODUCT(CSV!$C$25:$C$50="Novo - Contratar",CSV!D25:D50&gt;0)</f>
        <v>0</v>
      </c>
      <c r="S2" s="72">
        <f>SUMPRODUCT(CSV!$C$25:$C$50="Novo - Contratar",CSV!E25:E50&gt;0)</f>
        <v>2</v>
      </c>
      <c r="T2" s="72">
        <f>SUMPRODUCT(CSV!$C$25:$C$50="Novo - Contratar",CSV!F25:F50&gt;0)</f>
        <v>3</v>
      </c>
      <c r="U2" s="72">
        <f>SUMPRODUCT(CSV!$C$25:$C$50="Novo - Contratar",CSV!G25:G50&gt;0)</f>
        <v>3</v>
      </c>
      <c r="V2" s="72">
        <f>SUMPRODUCT(CSV!$C$25:$C$50="Novo - Contratar",CSV!H25:H50&gt;0)</f>
        <v>4</v>
      </c>
      <c r="W2" s="72">
        <f>SUMPRODUCT(CSV!$C$25:$C$50="Novo - Contratar",CSV!I25:I50&gt;0)</f>
        <v>4</v>
      </c>
      <c r="X2" s="72">
        <f>SUMPRODUCT(CSV!$C$25:$C$50="Novo - Contratar",CSV!J25:J50&gt;0)</f>
        <v>5</v>
      </c>
      <c r="Y2" s="72">
        <f>SUMPRODUCT(CSV!$C$25:$C$50="Novo - Contratar",CSV!K25:K50&gt;0)</f>
        <v>5</v>
      </c>
      <c r="Z2" s="72">
        <f>SUMPRODUCT(CSV!$C$25:$C$50="Novo - Contratar",CSV!L25:L50&gt;0)</f>
        <v>6</v>
      </c>
      <c r="AA2" s="72">
        <f>SUMPRODUCT(CSV!$C$25:$C$50="Novo - Contratar",CSV!M25:M50&gt;0)</f>
        <v>7</v>
      </c>
      <c r="AB2" s="72">
        <f>SUMPRODUCT(CSV!$C$25:$C$50="Novo - Contratar",CSV!N25:N50&gt;0)</f>
        <v>7</v>
      </c>
      <c r="AC2" s="72">
        <f>SUMPRODUCT(CSV!$C$25:$C$50="Novo - Contratar",CSV!O25:O50&gt;0)</f>
        <v>8</v>
      </c>
    </row>
    <row r="3">
      <c r="B3" s="12" t="s">
        <v>584</v>
      </c>
      <c r="C3" s="72">
        <f>count(CSV!D65:D80)</f>
        <v>8</v>
      </c>
      <c r="D3" s="72">
        <f>count(CSV!E65:E80)</f>
        <v>8</v>
      </c>
      <c r="E3" s="72">
        <f>count(CSV!F65:F80)</f>
        <v>8</v>
      </c>
      <c r="F3" s="72">
        <f>count(CSV!G65:G80)</f>
        <v>9</v>
      </c>
      <c r="G3" s="72">
        <f>count(CSV!H65:H80)</f>
        <v>9</v>
      </c>
      <c r="H3" s="72">
        <f>count(CSV!I65:I80)</f>
        <v>9</v>
      </c>
      <c r="I3" s="72">
        <f>count(CSV!J65:J80)</f>
        <v>9</v>
      </c>
      <c r="J3" s="72">
        <f>count(CSV!K65:K80)</f>
        <v>10</v>
      </c>
      <c r="K3" s="72">
        <f>count(CSV!L65:L80)</f>
        <v>10</v>
      </c>
      <c r="L3" s="72">
        <f>count(CSV!M65:M80)</f>
        <v>10</v>
      </c>
      <c r="M3" s="72">
        <f>count(CSV!N65:N80)</f>
        <v>10</v>
      </c>
      <c r="N3" s="72">
        <f>count(CSV!O65:O80)</f>
        <v>11</v>
      </c>
      <c r="Q3" s="12" t="s">
        <v>584</v>
      </c>
      <c r="R3" s="72">
        <f>SUMPRODUCT(CSV!$C$65:$C$80="Novo - Contratar",CSV!D65:D80&gt;0)</f>
        <v>0</v>
      </c>
      <c r="S3" s="72">
        <f>SUMPRODUCT(CSV!$C$65:$C$80="Novo - Contratar",CSV!E65:E80&gt;0)</f>
        <v>0</v>
      </c>
      <c r="T3" s="72">
        <f>SUMPRODUCT(CSV!$C$65:$C$80="Novo - Contratar",CSV!F65:F80&gt;0)</f>
        <v>0</v>
      </c>
      <c r="U3" s="72">
        <f>SUMPRODUCT(CSV!$C$65:$C$80="Novo - Contratar",CSV!G65:G80&gt;0)</f>
        <v>1</v>
      </c>
      <c r="V3" s="72">
        <f>SUMPRODUCT(CSV!$C$65:$C$80="Novo - Contratar",CSV!H65:H80&gt;0)</f>
        <v>1</v>
      </c>
      <c r="W3" s="72">
        <f>SUMPRODUCT(CSV!$C$65:$C$80="Novo - Contratar",CSV!I65:I80&gt;0)</f>
        <v>1</v>
      </c>
      <c r="X3" s="72">
        <f>SUMPRODUCT(CSV!$C$65:$C$80="Novo - Contratar",CSV!J65:J80&gt;0)</f>
        <v>1</v>
      </c>
      <c r="Y3" s="72">
        <f>SUMPRODUCT(CSV!$C$65:$C$80="Novo - Contratar",CSV!K65:K80&gt;0)</f>
        <v>2</v>
      </c>
      <c r="Z3" s="72">
        <f>SUMPRODUCT(CSV!$C$65:$C$80="Novo - Contratar",CSV!L65:L80&gt;0)</f>
        <v>2</v>
      </c>
      <c r="AA3" s="72">
        <f>SUMPRODUCT(CSV!$C$65:$C$80="Novo - Contratar",CSV!M65:M80&gt;0)</f>
        <v>2</v>
      </c>
      <c r="AB3" s="72">
        <f>SUMPRODUCT(CSV!$C$65:$C$80="Novo - Contratar",CSV!N65:N80&gt;0)</f>
        <v>2</v>
      </c>
      <c r="AC3" s="72">
        <f>SUMPRODUCT(CSV!$C$65:$C$80="Novo - Contratar",CSV!O65:O80&gt;0)</f>
        <v>3</v>
      </c>
    </row>
    <row r="4">
      <c r="B4" s="12" t="s">
        <v>247</v>
      </c>
      <c r="C4" s="72">
        <f>count(CSV!D97:D109)</f>
        <v>6</v>
      </c>
      <c r="D4" s="72">
        <f>count(CSV!E97:E109)</f>
        <v>7</v>
      </c>
      <c r="E4" s="72">
        <f>count(CSV!F97:F109)</f>
        <v>7</v>
      </c>
      <c r="F4" s="72">
        <f>count(CSV!G97:G109)</f>
        <v>7</v>
      </c>
      <c r="G4" s="72">
        <f>count(CSV!H97:H109)</f>
        <v>7</v>
      </c>
      <c r="H4" s="72">
        <f>count(CSV!I97:I109)</f>
        <v>7</v>
      </c>
      <c r="I4" s="72">
        <f>count(CSV!J97:J109)</f>
        <v>7</v>
      </c>
      <c r="J4" s="72">
        <f>count(CSV!K97:K109)</f>
        <v>8</v>
      </c>
      <c r="K4" s="72">
        <f>count(CSV!L97:L109)</f>
        <v>8</v>
      </c>
      <c r="L4" s="72">
        <f>count(CSV!M97:M109)</f>
        <v>8</v>
      </c>
      <c r="M4" s="72">
        <f>count(CSV!N97:N109)</f>
        <v>9</v>
      </c>
      <c r="N4" s="72">
        <f>count(CSV!O97:O109)</f>
        <v>9</v>
      </c>
      <c r="Q4" s="12" t="s">
        <v>247</v>
      </c>
      <c r="R4" s="72">
        <f>SUMPRODUCT(CSV!$C$97:$C$109="Novo - Contratar",CSV!D97:D109&gt;0)</f>
        <v>0</v>
      </c>
      <c r="S4" s="72">
        <f>SUMPRODUCT(CSV!$C$97:$C$109="Novo - Contratar",CSV!E97:E109&gt;0)</f>
        <v>1</v>
      </c>
      <c r="T4" s="72">
        <f>SUMPRODUCT(CSV!$C$97:$C$109="Novo - Contratar",CSV!F97:F109&gt;0)</f>
        <v>1</v>
      </c>
      <c r="U4" s="72">
        <f>SUMPRODUCT(CSV!$C$97:$C$109="Novo - Contratar",CSV!G97:G109&gt;0)</f>
        <v>1</v>
      </c>
      <c r="V4" s="72">
        <f>SUMPRODUCT(CSV!$C$97:$C$109="Novo - Contratar",CSV!H97:H109&gt;0)</f>
        <v>1</v>
      </c>
      <c r="W4" s="72">
        <f>SUMPRODUCT(CSV!$C$97:$C$109="Novo - Contratar",CSV!I97:I109&gt;0)</f>
        <v>1</v>
      </c>
      <c r="X4" s="72">
        <f>SUMPRODUCT(CSV!$C$97:$C$109="Novo - Contratar",CSV!J97:J109&gt;0)</f>
        <v>1</v>
      </c>
      <c r="Y4" s="72">
        <f>SUMPRODUCT(CSV!$C$97:$C$109="Novo - Contratar",CSV!K97:K109&gt;0)</f>
        <v>2</v>
      </c>
      <c r="Z4" s="72">
        <f>SUMPRODUCT(CSV!$C$97:$C$109="Novo - Contratar",CSV!L97:L109&gt;0)</f>
        <v>2</v>
      </c>
      <c r="AA4" s="72">
        <f>SUMPRODUCT(CSV!$C$97:$C$109="Novo - Contratar",CSV!M97:M109&gt;0)</f>
        <v>2</v>
      </c>
      <c r="AB4" s="72">
        <f>SUMPRODUCT(CSV!$C$97:$C$109="Novo - Contratar",CSV!N97:N109&gt;0)</f>
        <v>3</v>
      </c>
      <c r="AC4" s="72">
        <f>SUMPRODUCT(CSV!$C$97:$C$109="Novo - Contratar",CSV!O97:O109&gt;0)</f>
        <v>3</v>
      </c>
    </row>
    <row r="5">
      <c r="B5" s="12" t="s">
        <v>255</v>
      </c>
      <c r="C5" s="72">
        <f>count(CSV!D125:D135)</f>
        <v>3</v>
      </c>
      <c r="D5" s="72">
        <f>count(CSV!E125:E135)</f>
        <v>4</v>
      </c>
      <c r="E5" s="72">
        <f>count(CSV!F125:F135)</f>
        <v>4</v>
      </c>
      <c r="F5" s="72">
        <f>count(CSV!G125:G135)</f>
        <v>5</v>
      </c>
      <c r="G5" s="72">
        <f>count(CSV!H125:H135)</f>
        <v>5</v>
      </c>
      <c r="H5" s="72">
        <f>count(CSV!I125:I135)</f>
        <v>5</v>
      </c>
      <c r="I5" s="72">
        <f>count(CSV!J125:J135)</f>
        <v>6</v>
      </c>
      <c r="J5" s="72">
        <f>count(CSV!K125:K135)</f>
        <v>6</v>
      </c>
      <c r="K5" s="72">
        <f>count(CSV!L125:L135)</f>
        <v>6</v>
      </c>
      <c r="L5" s="72">
        <f>count(CSV!M125:M135)</f>
        <v>7</v>
      </c>
      <c r="M5" s="72">
        <f>count(CSV!N125:N135)</f>
        <v>7</v>
      </c>
      <c r="N5" s="72">
        <f>count(CSV!O125:O135)</f>
        <v>7</v>
      </c>
      <c r="Q5" s="12" t="s">
        <v>255</v>
      </c>
      <c r="R5" s="72">
        <f>SUMPRODUCT(CSV!$C$125:$C$135="Novo - Contratar",CSV!D125:D135&gt;0)</f>
        <v>0</v>
      </c>
      <c r="S5" s="72">
        <f>SUMPRODUCT(CSV!$C$125:$C$135="Novo - Contratar",CSV!E125:E135&gt;0)</f>
        <v>1</v>
      </c>
      <c r="T5" s="72">
        <f>SUMPRODUCT(CSV!$C$125:$C$135="Novo - Contratar",CSV!F125:F135&gt;0)</f>
        <v>1</v>
      </c>
      <c r="U5" s="72">
        <f>SUMPRODUCT(CSV!$C$125:$C$135="Novo - Contratar",CSV!G125:G135&gt;0)</f>
        <v>2</v>
      </c>
      <c r="V5" s="72">
        <f>SUMPRODUCT(CSV!$C$125:$C$135="Novo - Contratar",CSV!H125:H135&gt;0)</f>
        <v>2</v>
      </c>
      <c r="W5" s="72">
        <f>SUMPRODUCT(CSV!$C$125:$C$135="Novo - Contratar",CSV!I125:I135&gt;0)</f>
        <v>2</v>
      </c>
      <c r="X5" s="72">
        <f>SUMPRODUCT(CSV!$C$125:$C$135="Novo - Contratar",CSV!J125:J135&gt;0)</f>
        <v>3</v>
      </c>
      <c r="Y5" s="72">
        <f>SUMPRODUCT(CSV!$C$125:$C$135="Novo - Contratar",CSV!K125:K135&gt;0)</f>
        <v>3</v>
      </c>
      <c r="Z5" s="72">
        <f>SUMPRODUCT(CSV!$C$125:$C$135="Novo - Contratar",CSV!L125:L135&gt;0)</f>
        <v>3</v>
      </c>
      <c r="AA5" s="72">
        <f>SUMPRODUCT(CSV!$C$125:$C$135="Novo - Contratar",CSV!M125:M135&gt;0)</f>
        <v>4</v>
      </c>
      <c r="AB5" s="72">
        <f>SUMPRODUCT(CSV!$C$125:$C$135="Novo - Contratar",CSV!N125:N135&gt;0)</f>
        <v>4</v>
      </c>
      <c r="AC5" s="72">
        <f>SUMPRODUCT(CSV!$C$125:$C$135="Novo - Contratar",CSV!O125:O135&gt;0)</f>
        <v>4</v>
      </c>
    </row>
    <row r="6">
      <c r="B6" s="12" t="s">
        <v>585</v>
      </c>
      <c r="C6" s="72">
        <f>count(CSV!D153:D167)</f>
        <v>6</v>
      </c>
      <c r="D6" s="72">
        <f>count(CSV!E153:E167)</f>
        <v>7</v>
      </c>
      <c r="E6" s="72">
        <f>count(CSV!F153:F167)</f>
        <v>8</v>
      </c>
      <c r="F6" s="72">
        <f>count(CSV!G153:G167)</f>
        <v>8</v>
      </c>
      <c r="G6" s="72">
        <f>count(CSV!H153:H167)</f>
        <v>9</v>
      </c>
      <c r="H6" s="72">
        <f>count(CSV!I153:I167)</f>
        <v>9</v>
      </c>
      <c r="I6" s="72">
        <f>count(CSV!J153:J167)</f>
        <v>9</v>
      </c>
      <c r="J6" s="72">
        <f>count(CSV!K153:K167)</f>
        <v>9</v>
      </c>
      <c r="K6" s="72">
        <f>count(CSV!L153:L167)</f>
        <v>10</v>
      </c>
      <c r="L6" s="72">
        <f>count(CSV!M153:M167)</f>
        <v>10</v>
      </c>
      <c r="M6" s="72">
        <f>count(CSV!N153:N167)</f>
        <v>11</v>
      </c>
      <c r="N6" s="72">
        <f>count(CSV!O153:O167)</f>
        <v>11</v>
      </c>
      <c r="Q6" s="12" t="s">
        <v>585</v>
      </c>
      <c r="R6" s="13">
        <f>IFERROR(__xludf.DUMMYFUNCTION("SUMPRODUCT(REGEXMATCH(CSV!$C$153:$C$167,""Novo - Contratar""),CSV!D153:D167&gt;0)
"),0.0)</f>
        <v>0</v>
      </c>
      <c r="S6" s="13">
        <f>IFERROR(__xludf.DUMMYFUNCTION("SUMPRODUCT(REGEXMATCH(CSV!$C$153:$C$167,""Novo - Contratar""),CSV!E153:E167&gt;0)
"),1.0)</f>
        <v>1</v>
      </c>
      <c r="T6" s="13">
        <f>IFERROR(__xludf.DUMMYFUNCTION("SUMPRODUCT(REGEXMATCH(CSV!$C$153:$C$167,""Novo - Contratar""),CSV!F153:F167&gt;0)
"),2.0)</f>
        <v>2</v>
      </c>
      <c r="U6" s="13">
        <f>IFERROR(__xludf.DUMMYFUNCTION("SUMPRODUCT(REGEXMATCH(CSV!$C$153:$C$167,""Novo - Contratar""),CSV!G153:G167&gt;0)
"),2.0)</f>
        <v>2</v>
      </c>
      <c r="V6" s="13">
        <f>IFERROR(__xludf.DUMMYFUNCTION("SUMPRODUCT(REGEXMATCH(CSV!$C$153:$C$167,""Novo - Contratar""),CSV!H153:H167&gt;0)
"),3.0)</f>
        <v>3</v>
      </c>
      <c r="W6" s="13">
        <f>IFERROR(__xludf.DUMMYFUNCTION("SUMPRODUCT(REGEXMATCH(CSV!$C$153:$C$167,""Novo - Contratar""),CSV!I153:I167&gt;0)
"),3.0)</f>
        <v>3</v>
      </c>
      <c r="X6" s="13">
        <f>IFERROR(__xludf.DUMMYFUNCTION("SUMPRODUCT(REGEXMATCH(CSV!$C$153:$C$167,""Novo - Contratar""),CSV!J153:J167&gt;0)
"),3.0)</f>
        <v>3</v>
      </c>
      <c r="Y6" s="13">
        <f>IFERROR(__xludf.DUMMYFUNCTION("SUMPRODUCT(REGEXMATCH(CSV!$C$153:$C$167,""Novo - Contratar""),CSV!K153:K167&gt;0)
"),3.0)</f>
        <v>3</v>
      </c>
      <c r="Z6" s="13">
        <f>IFERROR(__xludf.DUMMYFUNCTION("SUMPRODUCT(REGEXMATCH(CSV!$C$153:$C$167,""Novo - Contratar""),CSV!L153:L167&gt;0)
"),4.0)</f>
        <v>4</v>
      </c>
      <c r="AA6" s="13">
        <f>IFERROR(__xludf.DUMMYFUNCTION("SUMPRODUCT(REGEXMATCH(CSV!$C$153:$C$167,""Novo - Contratar""),CSV!M153:M167&gt;0)
"),4.0)</f>
        <v>4</v>
      </c>
      <c r="AB6" s="13">
        <f>IFERROR(__xludf.DUMMYFUNCTION("SUMPRODUCT(REGEXMATCH(CSV!$C$153:$C$167,""Novo - Contratar""),CSV!N153:N167&gt;0)
"),5.0)</f>
        <v>5</v>
      </c>
      <c r="AC6" s="13">
        <f>IFERROR(__xludf.DUMMYFUNCTION("SUMPRODUCT(REGEXMATCH(CSV!$C$153:$C$167,""Novo - Contratar""),CSV!O153:O167&gt;0)
"),5.0)</f>
        <v>5</v>
      </c>
    </row>
    <row r="7">
      <c r="B7" s="12" t="s">
        <v>272</v>
      </c>
      <c r="C7" s="72">
        <f>count(CSV!D183:D196)</f>
        <v>5</v>
      </c>
      <c r="D7" s="72">
        <f>count(CSV!E183:E196)</f>
        <v>5</v>
      </c>
      <c r="E7" s="72">
        <f>count(CSV!F183:F196)</f>
        <v>5</v>
      </c>
      <c r="F7" s="72">
        <f>count(CSV!G183:G196)</f>
        <v>8</v>
      </c>
      <c r="G7" s="72">
        <f>count(CSV!H183:H196)</f>
        <v>8</v>
      </c>
      <c r="H7" s="72">
        <f>count(CSV!I183:I196)</f>
        <v>9</v>
      </c>
      <c r="I7" s="72">
        <f>count(CSV!J183:J196)</f>
        <v>9</v>
      </c>
      <c r="J7" s="72">
        <f>count(CSV!K183:K196)</f>
        <v>10</v>
      </c>
      <c r="K7" s="72">
        <f>count(CSV!L183:L196)</f>
        <v>10</v>
      </c>
      <c r="L7" s="72">
        <f>count(CSV!M183:M196)</f>
        <v>11</v>
      </c>
      <c r="M7" s="72">
        <f>count(CSV!N183:N196)</f>
        <v>12</v>
      </c>
      <c r="N7" s="72">
        <f>count(CSV!O183:O196)</f>
        <v>12</v>
      </c>
      <c r="Q7" s="12" t="s">
        <v>272</v>
      </c>
      <c r="R7" s="72">
        <f>SUMPRODUCT(CSV!$C$183:$C$196="Novo - Contratar",CSV!D183:D196&gt;0)</f>
        <v>0</v>
      </c>
      <c r="S7" s="72">
        <f>SUMPRODUCT(CSV!$C$183:$C$196="Novo - Contratar",CSV!E183:E196&gt;0)</f>
        <v>0</v>
      </c>
      <c r="T7" s="72">
        <f>SUMPRODUCT(CSV!$C$183:$C$196="Novo - Contratar",CSV!F183:F196&gt;0)</f>
        <v>0</v>
      </c>
      <c r="U7" s="72">
        <f>SUMPRODUCT(CSV!$C$183:$C$196="Novo - Contratar",CSV!G183:G196&gt;0)</f>
        <v>3</v>
      </c>
      <c r="V7" s="72">
        <f>SUMPRODUCT(CSV!$C$183:$C$196="Novo - Contratar",CSV!H183:H196&gt;0)</f>
        <v>3</v>
      </c>
      <c r="W7" s="72">
        <f>SUMPRODUCT(CSV!$C$183:$C$196="Novo - Contratar",CSV!I183:I196&gt;0)</f>
        <v>4</v>
      </c>
      <c r="X7" s="72">
        <f>SUMPRODUCT(CSV!$C$183:$C$196="Novo - Contratar",CSV!J183:J196&gt;0)</f>
        <v>4</v>
      </c>
      <c r="Y7" s="72">
        <f>SUMPRODUCT(CSV!$C$183:$C$196="Novo - Contratar",CSV!K183:K196&gt;0)</f>
        <v>5</v>
      </c>
      <c r="Z7" s="72">
        <f>SUMPRODUCT(CSV!$C$183:$C$196="Novo - Contratar",CSV!L183:L196&gt;0)</f>
        <v>5</v>
      </c>
      <c r="AA7" s="72">
        <f>SUMPRODUCT(CSV!$C$183:$C$196="Novo - Contratar",CSV!M183:M196&gt;0)</f>
        <v>6</v>
      </c>
      <c r="AB7" s="72">
        <f>SUMPRODUCT(CSV!$C$183:$C$196="Novo - Contratar",CSV!N183:N196&gt;0)</f>
        <v>7</v>
      </c>
      <c r="AC7" s="72">
        <f>SUMPRODUCT(CSV!$C$183:$C$196="Novo - Contratar",CSV!O183:O196&gt;0)</f>
        <v>7</v>
      </c>
    </row>
    <row r="8">
      <c r="B8" s="12" t="s">
        <v>282</v>
      </c>
      <c r="C8" s="72">
        <f>count(CSV!D214:D220)</f>
        <v>0</v>
      </c>
      <c r="D8" s="72">
        <f>count(CSV!E214:E220)</f>
        <v>1</v>
      </c>
      <c r="E8" s="72">
        <f>count(CSV!F214:F220)</f>
        <v>1</v>
      </c>
      <c r="F8" s="72">
        <f>count(CSV!G214:G220)</f>
        <v>3</v>
      </c>
      <c r="G8" s="72">
        <f>count(CSV!H214:H220)</f>
        <v>3</v>
      </c>
      <c r="H8" s="72">
        <f>count(CSV!I214:I220)</f>
        <v>3</v>
      </c>
      <c r="I8" s="72">
        <f>count(CSV!J214:J220)</f>
        <v>4</v>
      </c>
      <c r="J8" s="72">
        <f>count(CSV!K214:K220)</f>
        <v>4</v>
      </c>
      <c r="K8" s="72">
        <f>count(CSV!L214:L220)</f>
        <v>4</v>
      </c>
      <c r="L8" s="72">
        <f>count(CSV!M214:M220)</f>
        <v>5</v>
      </c>
      <c r="M8" s="72">
        <f>count(CSV!N214:N220)</f>
        <v>5</v>
      </c>
      <c r="N8" s="72">
        <f>count(CSV!O214:O220)</f>
        <v>5</v>
      </c>
      <c r="Q8" s="12" t="s">
        <v>282</v>
      </c>
      <c r="R8" s="72">
        <f>SUMPRODUCT(CSV!$C$214:$C$220="Novo - Contratar",CSV!D214:D220&gt;0)</f>
        <v>0</v>
      </c>
      <c r="S8" s="72">
        <f>SUMPRODUCT(CSV!$C$214:$C$220="Novo - Contratar",CSV!E214:E220&gt;0)</f>
        <v>1</v>
      </c>
      <c r="T8" s="72">
        <f>SUMPRODUCT(CSV!$C$214:$C$220="Novo - Contratar",CSV!F214:F220&gt;0)</f>
        <v>1</v>
      </c>
      <c r="U8" s="72">
        <f>SUMPRODUCT(CSV!$C$214:$C$220="Novo - Contratar",CSV!G214:G220&gt;0)</f>
        <v>3</v>
      </c>
      <c r="V8" s="72">
        <f>SUMPRODUCT(CSV!$C$214:$C$220="Novo - Contratar",CSV!H214:H220&gt;0)</f>
        <v>3</v>
      </c>
      <c r="W8" s="72">
        <f>SUMPRODUCT(CSV!$C$214:$C$220="Novo - Contratar",CSV!I214:I220&gt;0)</f>
        <v>3</v>
      </c>
      <c r="X8" s="72">
        <f>SUMPRODUCT(CSV!$C$214:$C$220="Novo - Contratar",CSV!J214:J220&gt;0)</f>
        <v>4</v>
      </c>
      <c r="Y8" s="72">
        <f>SUMPRODUCT(CSV!$C$214:$C$220="Novo - Contratar",CSV!K214:K220&gt;0)</f>
        <v>4</v>
      </c>
      <c r="Z8" s="72">
        <f>SUMPRODUCT(CSV!$C$214:$C$220="Novo - Contratar",CSV!L214:L220&gt;0)</f>
        <v>4</v>
      </c>
      <c r="AA8" s="72">
        <f>SUMPRODUCT(CSV!$C$214:$C$220="Novo - Contratar",CSV!M214:M220&gt;0)</f>
        <v>5</v>
      </c>
      <c r="AB8" s="72">
        <f>SUMPRODUCT(CSV!$C$214:$C$220="Novo - Contratar",CSV!N214:N220&gt;0)</f>
        <v>5</v>
      </c>
      <c r="AC8" s="72">
        <f>SUMPRODUCT(CSV!$C$214:$C$220="Novo - Contratar",CSV!O214:O220&gt;0)</f>
        <v>5</v>
      </c>
    </row>
    <row r="9">
      <c r="B9" s="12" t="s">
        <v>289</v>
      </c>
      <c r="C9" s="72">
        <f>count(CSV!D237:D251)</f>
        <v>3</v>
      </c>
      <c r="D9" s="72">
        <f>count(CSV!E237:E251)</f>
        <v>3</v>
      </c>
      <c r="E9" s="72">
        <f>count(CSV!F237:F251)</f>
        <v>3</v>
      </c>
      <c r="F9" s="72">
        <f>count(CSV!G237:G251)</f>
        <v>4</v>
      </c>
      <c r="G9" s="72">
        <f>count(CSV!H237:H251)</f>
        <v>4</v>
      </c>
      <c r="H9" s="72">
        <f>count(CSV!I237:I251)</f>
        <v>4</v>
      </c>
      <c r="I9" s="72">
        <f>count(CSV!J237:J251)</f>
        <v>5</v>
      </c>
      <c r="J9" s="72">
        <f>count(CSV!K237:K251)</f>
        <v>5</v>
      </c>
      <c r="K9" s="72">
        <f>count(CSV!L237:L251)</f>
        <v>5</v>
      </c>
      <c r="L9" s="72">
        <f>count(CSV!M237:M251)</f>
        <v>6</v>
      </c>
      <c r="M9" s="72">
        <f>count(CSV!N237:N251)</f>
        <v>6</v>
      </c>
      <c r="N9" s="72">
        <f>count(CSV!O237:O251)</f>
        <v>6</v>
      </c>
      <c r="Q9" s="12" t="s">
        <v>289</v>
      </c>
      <c r="R9" s="72">
        <f>SUMPRODUCT(CSV!$C$237:$C$251="Novo - Contratar",CSV!D237:D251&gt;0)</f>
        <v>3</v>
      </c>
      <c r="S9" s="72">
        <f>SUMPRODUCT(CSV!$C$237:$C$251="Novo - Contratar",CSV!E237:E251&gt;0)</f>
        <v>3</v>
      </c>
      <c r="T9" s="72">
        <f>SUMPRODUCT(CSV!$C$237:$C$251="Novo - Contratar",CSV!F237:F251&gt;0)</f>
        <v>3</v>
      </c>
      <c r="U9" s="72">
        <f>SUMPRODUCT(CSV!$C$237:$C$251="Novo - Contratar",CSV!G237:G251&gt;0)</f>
        <v>4</v>
      </c>
      <c r="V9" s="72">
        <f>SUMPRODUCT(CSV!$C$237:$C$251="Novo - Contratar",CSV!H237:H251&gt;0)</f>
        <v>4</v>
      </c>
      <c r="W9" s="72">
        <f>SUMPRODUCT(CSV!$C$237:$C$251="Novo - Contratar",CSV!I237:I251&gt;0)</f>
        <v>4</v>
      </c>
      <c r="X9" s="72">
        <f>SUMPRODUCT(CSV!$C$237:$C$251="Novo - Contratar",CSV!J237:J251&gt;0)</f>
        <v>5</v>
      </c>
      <c r="Y9" s="72">
        <f>SUMPRODUCT(CSV!$C$237:$C$251="Novo - Contratar",CSV!K237:K251&gt;0)</f>
        <v>5</v>
      </c>
      <c r="Z9" s="72">
        <f>SUMPRODUCT(CSV!$C$237:$C$251="Novo - Contratar",CSV!L237:L251&gt;0)</f>
        <v>5</v>
      </c>
      <c r="AA9" s="72">
        <f>SUMPRODUCT(CSV!$C$237:$C$251="Novo - Contratar",CSV!M237:M251&gt;0)</f>
        <v>6</v>
      </c>
      <c r="AB9" s="72">
        <f>SUMPRODUCT(CSV!$C$237:$C$251="Novo - Contratar",CSV!N237:N251&gt;0)</f>
        <v>6</v>
      </c>
      <c r="AC9" s="72">
        <f>SUMPRODUCT(CSV!$C$237:$C$251="Novo - Contratar",CSV!O237:O251&gt;0)</f>
        <v>6</v>
      </c>
    </row>
    <row r="10">
      <c r="B10" s="12" t="s">
        <v>291</v>
      </c>
      <c r="C10" s="72">
        <f>count(CSV!D266:D281)</f>
        <v>6</v>
      </c>
      <c r="D10" s="72">
        <f>count(CSV!E266:E281)</f>
        <v>6</v>
      </c>
      <c r="E10" s="72">
        <f>count(CSV!F266:F281)</f>
        <v>7</v>
      </c>
      <c r="F10" s="72">
        <f>count(CSV!G266:G281)</f>
        <v>8</v>
      </c>
      <c r="G10" s="72">
        <f>count(CSV!H266:H281)</f>
        <v>9</v>
      </c>
      <c r="H10" s="72">
        <f>count(CSV!I266:I281)</f>
        <v>9</v>
      </c>
      <c r="I10" s="72">
        <f>count(CSV!J266:J281)</f>
        <v>9</v>
      </c>
      <c r="J10" s="72">
        <f>count(CSV!K266:K281)</f>
        <v>10</v>
      </c>
      <c r="K10" s="72">
        <f>count(CSV!L266:L281)</f>
        <v>10</v>
      </c>
      <c r="L10" s="72">
        <f>count(CSV!M266:M281)</f>
        <v>11</v>
      </c>
      <c r="M10" s="72">
        <f>count(CSV!N266:N281)</f>
        <v>11</v>
      </c>
      <c r="N10" s="72">
        <f>count(CSV!O266:O281)</f>
        <v>11</v>
      </c>
      <c r="Q10" s="12" t="s">
        <v>291</v>
      </c>
      <c r="R10" s="72">
        <f>SUMPRODUCT(CSV!$C$266:$C$281="Novo - Contratar",CSV!D266:D281&gt;0)</f>
        <v>2</v>
      </c>
      <c r="S10" s="72">
        <f>SUMPRODUCT(CSV!$C$266:$C$281="Novo - Contratar",CSV!E266:E281&gt;0)</f>
        <v>2</v>
      </c>
      <c r="T10" s="72">
        <f>SUMPRODUCT(CSV!$C$266:$C$281="Novo - Contratar",CSV!F266:F281&gt;0)</f>
        <v>3</v>
      </c>
      <c r="U10" s="72">
        <f>SUMPRODUCT(CSV!$C$266:$C$281="Novo - Contratar",CSV!G266:G281&gt;0)</f>
        <v>4</v>
      </c>
      <c r="V10" s="72">
        <f>SUMPRODUCT(CSV!$C$266:$C$281="Novo - Contratar",CSV!H266:H281&gt;0)</f>
        <v>5</v>
      </c>
      <c r="W10" s="72">
        <f>SUMPRODUCT(CSV!$C$266:$C$281="Novo - Contratar",CSV!I266:I281&gt;0)</f>
        <v>5</v>
      </c>
      <c r="X10" s="72">
        <f>SUMPRODUCT(CSV!$C$266:$C$281="Novo - Contratar",CSV!J266:J281&gt;0)</f>
        <v>5</v>
      </c>
      <c r="Y10" s="72">
        <f>SUMPRODUCT(CSV!$C$266:$C$281="Novo - Contratar",CSV!K266:K281&gt;0)</f>
        <v>6</v>
      </c>
      <c r="Z10" s="72">
        <f>SUMPRODUCT(CSV!$C$266:$C$281="Novo - Contratar",CSV!L266:L281&gt;0)</f>
        <v>6</v>
      </c>
      <c r="AA10" s="72">
        <f>SUMPRODUCT(CSV!$C$266:$C$281="Novo - Contratar",CSV!M266:M281&gt;0)</f>
        <v>7</v>
      </c>
      <c r="AB10" s="72">
        <f>SUMPRODUCT(CSV!$C$266:$C$281="Novo - Contratar",CSV!N266:N281&gt;0)</f>
        <v>7</v>
      </c>
      <c r="AC10" s="72">
        <f>SUMPRODUCT(CSV!$C$266:$C$281="Novo - Contratar",CSV!O266:O281&gt;0)</f>
        <v>7</v>
      </c>
    </row>
    <row r="11">
      <c r="B11" s="12" t="s">
        <v>586</v>
      </c>
      <c r="C11" s="72">
        <f>count(CSV!D296:D309)</f>
        <v>6</v>
      </c>
      <c r="D11" s="72">
        <f>count(CSV!E296:E309)</f>
        <v>7</v>
      </c>
      <c r="E11" s="72">
        <f>count(CSV!F296:F309)</f>
        <v>7</v>
      </c>
      <c r="F11" s="72">
        <f>count(CSV!G296:G309)</f>
        <v>7</v>
      </c>
      <c r="G11" s="72">
        <f>count(CSV!H296:H309)</f>
        <v>8</v>
      </c>
      <c r="H11" s="72">
        <f>count(CSV!I296:I309)</f>
        <v>8</v>
      </c>
      <c r="I11" s="72">
        <f>count(CSV!J296:J309)</f>
        <v>9</v>
      </c>
      <c r="J11" s="72">
        <f>count(CSV!K296:K309)</f>
        <v>9</v>
      </c>
      <c r="K11" s="72">
        <f>count(CSV!L296:L309)</f>
        <v>9</v>
      </c>
      <c r="L11" s="72">
        <f>count(CSV!M296:M309)</f>
        <v>9</v>
      </c>
      <c r="M11" s="72">
        <f>count(CSV!N296:N309)</f>
        <v>9</v>
      </c>
      <c r="N11" s="72">
        <f>count(CSV!O296:O309)</f>
        <v>10</v>
      </c>
      <c r="Q11" s="12" t="s">
        <v>586</v>
      </c>
      <c r="R11" s="72">
        <f>SUMPRODUCT(CSV!$C$296:$C$309="Novo - Contratar",CSV!D296:D309&gt;0)</f>
        <v>0</v>
      </c>
      <c r="S11" s="72">
        <f>SUMPRODUCT(CSV!$C$296:$C$309="Novo - Contratar",CSV!E296:E309&gt;0)</f>
        <v>1</v>
      </c>
      <c r="T11" s="72">
        <f>SUMPRODUCT(CSV!$C$296:$C$309="Novo - Contratar",CSV!F296:F309&gt;0)</f>
        <v>1</v>
      </c>
      <c r="U11" s="72">
        <f>SUMPRODUCT(CSV!$C$296:$C$309="Novo - Contratar",CSV!G296:G309&gt;0)</f>
        <v>1</v>
      </c>
      <c r="V11" s="72">
        <f>SUMPRODUCT(CSV!$C$296:$C$309="Novo - Contratar",CSV!H296:H309&gt;0)</f>
        <v>2</v>
      </c>
      <c r="W11" s="72">
        <f>SUMPRODUCT(CSV!$C$296:$C$309="Novo - Contratar",CSV!I296:I309&gt;0)</f>
        <v>2</v>
      </c>
      <c r="X11" s="72">
        <f>SUMPRODUCT(CSV!$C$296:$C$309="Novo - Contratar",CSV!J296:J309&gt;0)</f>
        <v>3</v>
      </c>
      <c r="Y11" s="72">
        <f>SUMPRODUCT(CSV!$C$296:$C$309="Novo - Contratar",CSV!K296:K309&gt;0)</f>
        <v>3</v>
      </c>
      <c r="Z11" s="72">
        <f>SUMPRODUCT(CSV!$C$296:$C$309="Novo - Contratar",CSV!L296:L309&gt;0)</f>
        <v>3</v>
      </c>
      <c r="AA11" s="72">
        <f>SUMPRODUCT(CSV!$C$296:$C$309="Novo - Contratar",CSV!M296:M309&gt;0)</f>
        <v>3</v>
      </c>
      <c r="AB11" s="72">
        <f>SUMPRODUCT(CSV!$C$296:$C$309="Novo - Contratar",CSV!N296:N309&gt;0)</f>
        <v>3</v>
      </c>
      <c r="AC11" s="72">
        <f>SUMPRODUCT(CSV!$C$296:$C$309="Novo - Contratar",CSV!O296:O309&gt;0)</f>
        <v>4</v>
      </c>
    </row>
    <row r="12">
      <c r="B12" s="12" t="s">
        <v>587</v>
      </c>
      <c r="C12" s="72">
        <f>count(CSV!D323:D337)</f>
        <v>13</v>
      </c>
      <c r="D12" s="72">
        <f>count(CSV!E323:E337)</f>
        <v>13</v>
      </c>
      <c r="E12" s="72">
        <f>count(CSV!F323:F337)</f>
        <v>13</v>
      </c>
      <c r="F12" s="72">
        <f>count(CSV!G323:G337)</f>
        <v>14</v>
      </c>
      <c r="G12" s="72">
        <f>count(CSV!H323:H337)</f>
        <v>14</v>
      </c>
      <c r="H12" s="72">
        <f>count(CSV!I323:I337)</f>
        <v>14</v>
      </c>
      <c r="I12" s="72">
        <f>count(CSV!J323:J337)</f>
        <v>15</v>
      </c>
      <c r="J12" s="72">
        <f>count(CSV!K323:K337)</f>
        <v>15</v>
      </c>
      <c r="K12" s="72">
        <f>count(CSV!L323:L337)</f>
        <v>15</v>
      </c>
      <c r="L12" s="72">
        <f>count(CSV!M323:M337)</f>
        <v>15</v>
      </c>
      <c r="M12" s="72">
        <f>count(CSV!N323:N337)</f>
        <v>15</v>
      </c>
      <c r="N12" s="72">
        <f>count(CSV!O323:O337)</f>
        <v>15</v>
      </c>
      <c r="Q12" s="12" t="s">
        <v>587</v>
      </c>
      <c r="R12" s="72">
        <f>IFERROR(__xludf.DUMMYFUNCTION("SUMPRODUCT(REGEXMATCH(CSV!$C$323:$C$337,""Novo - Contratar""),CSV!D323:D337&gt;0)
"),0.0)</f>
        <v>0</v>
      </c>
      <c r="S12" s="72">
        <f>IFERROR(__xludf.DUMMYFUNCTION("SUMPRODUCT(REGEXMATCH(CSV!$C$323:$C$337,""Novo - Contratar""),CSV!E323:E337&gt;0)
"),0.0)</f>
        <v>0</v>
      </c>
      <c r="T12" s="72">
        <f>IFERROR(__xludf.DUMMYFUNCTION("SUMPRODUCT(REGEXMATCH(CSV!$C$323:$C$337,""Novo - Contratar""),CSV!F323:F337&gt;0)
"),0.0)</f>
        <v>0</v>
      </c>
      <c r="U12" s="72">
        <f>IFERROR(__xludf.DUMMYFUNCTION("SUMPRODUCT(REGEXMATCH(CSV!$C$323:$C$337,""Novo - Contratar""),CSV!G323:G337&gt;0)
"),1.0)</f>
        <v>1</v>
      </c>
      <c r="V12" s="72">
        <f>IFERROR(__xludf.DUMMYFUNCTION("SUMPRODUCT(REGEXMATCH(CSV!$C$323:$C$337,""Novo - Contratar""),CSV!H323:H337&gt;0)
"),1.0)</f>
        <v>1</v>
      </c>
      <c r="W12" s="72">
        <f>IFERROR(__xludf.DUMMYFUNCTION("SUMPRODUCT(REGEXMATCH(CSV!$C$323:$C$337,""Novo - Contratar""),CSV!I323:I337&gt;0)
"),1.0)</f>
        <v>1</v>
      </c>
      <c r="X12" s="72">
        <f>IFERROR(__xludf.DUMMYFUNCTION("SUMPRODUCT(REGEXMATCH(CSV!$C$323:$C$337,""Novo - Contratar""),CSV!J323:J337&gt;0)
"),2.0)</f>
        <v>2</v>
      </c>
      <c r="Y12" s="72">
        <f>IFERROR(__xludf.DUMMYFUNCTION("SUMPRODUCT(REGEXMATCH(CSV!$C$323:$C$337,""Novo - Contratar""),CSV!K323:K337&gt;0)
"),2.0)</f>
        <v>2</v>
      </c>
      <c r="Z12" s="72">
        <f>IFERROR(__xludf.DUMMYFUNCTION("SUMPRODUCT(REGEXMATCH(CSV!$C$323:$C$337,""Novo - Contratar""),CSV!L323:L337&gt;0)
"),2.0)</f>
        <v>2</v>
      </c>
      <c r="AA12" s="72">
        <f>IFERROR(__xludf.DUMMYFUNCTION("SUMPRODUCT(REGEXMATCH(CSV!$C$323:$C$337,""Novo - Contratar""),CSV!M323:M337&gt;0)
"),2.0)</f>
        <v>2</v>
      </c>
      <c r="AB12" s="72">
        <f>IFERROR(__xludf.DUMMYFUNCTION("SUMPRODUCT(REGEXMATCH(CSV!$C$323:$C$337,""Novo - Contratar""),CSV!N323:N337&gt;0)
"),2.0)</f>
        <v>2</v>
      </c>
      <c r="AC12" s="72">
        <f>IFERROR(__xludf.DUMMYFUNCTION("SUMPRODUCT(REGEXMATCH(CSV!$C$323:$C$337,""Novo - Contratar""),CSV!O323:O337&gt;0)
"),2.0)</f>
        <v>2</v>
      </c>
    </row>
    <row r="13">
      <c r="B13" s="12" t="s">
        <v>588</v>
      </c>
      <c r="C13" s="72">
        <f>count(CAC!C22:C38)</f>
        <v>9</v>
      </c>
      <c r="D13" s="72">
        <f>count(CAC!D22:D38)</f>
        <v>9</v>
      </c>
      <c r="E13" s="72">
        <f>count(CAC!E22:E38)</f>
        <v>11</v>
      </c>
      <c r="F13" s="72">
        <f>count(CAC!F22:F38)</f>
        <v>11</v>
      </c>
      <c r="G13" s="72">
        <f>count(CAC!G22:G38)</f>
        <v>11</v>
      </c>
      <c r="H13" s="72">
        <f>count(CAC!H22:H38)</f>
        <v>11</v>
      </c>
      <c r="I13" s="72">
        <f>count(CAC!I22:I38)</f>
        <v>11</v>
      </c>
      <c r="J13" s="72">
        <f>count(CAC!J22:J38)</f>
        <v>12</v>
      </c>
      <c r="K13" s="72">
        <f>count(CAC!K22:K38)</f>
        <v>13</v>
      </c>
      <c r="L13" s="72">
        <f>count(CAC!L22:L38)</f>
        <v>14</v>
      </c>
      <c r="M13" s="72">
        <f>count(CAC!M22:M38)</f>
        <v>14</v>
      </c>
      <c r="N13" s="72">
        <f>count(CAC!N22:N38)</f>
        <v>15</v>
      </c>
      <c r="Q13" s="12" t="s">
        <v>588</v>
      </c>
      <c r="R13" s="72">
        <f>IFERROR(__xludf.DUMMYFUNCTION("SUMPRODUCT(REGEXMATCH(CAC!$B$22:$B$38,""Novo - Contratar""),CAC!C22:C38&gt;0)
"),1.0)</f>
        <v>1</v>
      </c>
      <c r="S13" s="72">
        <f>IFERROR(__xludf.DUMMYFUNCTION("SUMPRODUCT(REGEXMATCH(CAC!$B$22:$B$38,""Novo - Contratar""),CAC!D22:D38&gt;0)
"),1.0)</f>
        <v>1</v>
      </c>
      <c r="T13" s="72">
        <f>IFERROR(__xludf.DUMMYFUNCTION("SUMPRODUCT(REGEXMATCH(CAC!$B$22:$B$38,""Novo - Contratar""),CAC!E22:E38&gt;0)
"),3.0)</f>
        <v>3</v>
      </c>
      <c r="U13" s="72">
        <f>IFERROR(__xludf.DUMMYFUNCTION("SUMPRODUCT(REGEXMATCH(CAC!$B$22:$B$38,""Novo - Contratar""),CAC!F22:F38&gt;0)
"),3.0)</f>
        <v>3</v>
      </c>
      <c r="V13" s="72">
        <f>IFERROR(__xludf.DUMMYFUNCTION("SUMPRODUCT(REGEXMATCH(CAC!$B$22:$B$38,""Novo - Contratar""),CAC!G22:G38&gt;0)
"),3.0)</f>
        <v>3</v>
      </c>
      <c r="W13" s="72">
        <f>IFERROR(__xludf.DUMMYFUNCTION("SUMPRODUCT(REGEXMATCH(CAC!$B$22:$B$38,""Novo - Contratar""),CAC!H22:H38&gt;0)
"),3.0)</f>
        <v>3</v>
      </c>
      <c r="X13" s="72">
        <f>IFERROR(__xludf.DUMMYFUNCTION("SUMPRODUCT(REGEXMATCH(CAC!$B$22:$B$38,""Novo - Contratar""),CAC!I22:I38&gt;0)
"),3.0)</f>
        <v>3</v>
      </c>
      <c r="Y13" s="72">
        <f>IFERROR(__xludf.DUMMYFUNCTION("SUMPRODUCT(REGEXMATCH(CAC!$B$22:$B$38,""Novo - Contratar""),CAC!J22:J38&gt;0)
"),4.0)</f>
        <v>4</v>
      </c>
      <c r="Z13" s="72">
        <f>IFERROR(__xludf.DUMMYFUNCTION("SUMPRODUCT(REGEXMATCH(CAC!$B$22:$B$38,""Novo - Contratar""),CAC!K22:K38&gt;0)
"),5.0)</f>
        <v>5</v>
      </c>
      <c r="AA13" s="72">
        <f>IFERROR(__xludf.DUMMYFUNCTION("SUMPRODUCT(REGEXMATCH(CAC!$B$22:$B$38,""Novo - Contratar""),CAC!L22:L38&gt;0)
"),6.0)</f>
        <v>6</v>
      </c>
      <c r="AB13" s="72">
        <f>IFERROR(__xludf.DUMMYFUNCTION("SUMPRODUCT(REGEXMATCH(CAC!$B$22:$B$38,""Novo - Contratar""),CAC!M22:M38&gt;0)
"),6.0)</f>
        <v>6</v>
      </c>
      <c r="AC13" s="72">
        <f>IFERROR(__xludf.DUMMYFUNCTION("SUMPRODUCT(REGEXMATCH(CAC!$B$22:$B$38,""Novo - Contratar""),CAC!N22:N38&gt;0)
"),7.0)</f>
        <v>7</v>
      </c>
    </row>
    <row r="14">
      <c r="B14" s="12" t="s">
        <v>21</v>
      </c>
      <c r="C14" s="72">
        <f>count(CAC!C44:C59)</f>
        <v>6</v>
      </c>
      <c r="D14" s="72">
        <f>count(CAC!D44:D59)</f>
        <v>7</v>
      </c>
      <c r="E14" s="72">
        <f>count(CAC!E44:E59)</f>
        <v>7</v>
      </c>
      <c r="F14" s="72">
        <f>count(CAC!F44:F59)</f>
        <v>8</v>
      </c>
      <c r="G14" s="72">
        <f>count(CAC!G44:G59)</f>
        <v>8</v>
      </c>
      <c r="H14" s="72">
        <f>count(CAC!H44:H59)</f>
        <v>8</v>
      </c>
      <c r="I14" s="72">
        <f>count(CAC!I44:I59)</f>
        <v>8</v>
      </c>
      <c r="J14" s="72">
        <f>count(CAC!J44:J59)</f>
        <v>8</v>
      </c>
      <c r="K14" s="72">
        <f>count(CAC!K44:K59)</f>
        <v>8</v>
      </c>
      <c r="L14" s="72">
        <f>count(CAC!L44:L59)</f>
        <v>8</v>
      </c>
      <c r="M14" s="72">
        <f>count(CAC!M44:M59)</f>
        <v>8</v>
      </c>
      <c r="N14" s="72">
        <f>count(CAC!N44:N59)</f>
        <v>8</v>
      </c>
      <c r="Q14" s="12" t="s">
        <v>21</v>
      </c>
      <c r="R14" s="72">
        <f>IFERROR(__xludf.DUMMYFUNCTION("SUMPRODUCT(REGEXMATCH(CAC!$B$44:$B$59,""Novo - Contratar""),CAC!C44:C59&gt;0)
"),0.0)</f>
        <v>0</v>
      </c>
      <c r="S14" s="72">
        <f>IFERROR(__xludf.DUMMYFUNCTION("SUMPRODUCT(REGEXMATCH(CAC!$B$44:$B$59,""Novo - Contratar""),CAC!D44:D59&gt;0)
"),1.0)</f>
        <v>1</v>
      </c>
      <c r="T14" s="72">
        <f>IFERROR(__xludf.DUMMYFUNCTION("SUMPRODUCT(REGEXMATCH(CAC!$B$44:$B$59,""Novo - Contratar""),CAC!E44:E59&gt;0)
"),1.0)</f>
        <v>1</v>
      </c>
      <c r="U14" s="72">
        <f>IFERROR(__xludf.DUMMYFUNCTION("SUMPRODUCT(REGEXMATCH(CAC!$B$44:$B$59,""Novo - Contratar""),CAC!F44:F59&gt;0)
"),2.0)</f>
        <v>2</v>
      </c>
      <c r="V14" s="72">
        <f>IFERROR(__xludf.DUMMYFUNCTION("SUMPRODUCT(REGEXMATCH(CAC!$B$44:$B$59,""Novo - Contratar""),CAC!G44:G59&gt;0)
"),2.0)</f>
        <v>2</v>
      </c>
      <c r="W14" s="72">
        <f>IFERROR(__xludf.DUMMYFUNCTION("SUMPRODUCT(REGEXMATCH(CAC!$B$44:$B$59,""Novo - Contratar""),CAC!H44:H59&gt;0)
"),2.0)</f>
        <v>2</v>
      </c>
      <c r="X14" s="72">
        <f>IFERROR(__xludf.DUMMYFUNCTION("SUMPRODUCT(REGEXMATCH(CAC!$B$44:$B$59,""Novo - Contratar""),CAC!I44:I59&gt;0)
"),2.0)</f>
        <v>2</v>
      </c>
      <c r="Y14" s="72">
        <f>IFERROR(__xludf.DUMMYFUNCTION("SUMPRODUCT(REGEXMATCH(CAC!$B$44:$B$59,""Novo - Contratar""),CAC!J44:J59&gt;0)
"),2.0)</f>
        <v>2</v>
      </c>
      <c r="Z14" s="72">
        <f>IFERROR(__xludf.DUMMYFUNCTION("SUMPRODUCT(REGEXMATCH(CAC!$B$44:$B$59,""Novo - Contratar""),CAC!K44:K59&gt;0)
"),2.0)</f>
        <v>2</v>
      </c>
      <c r="AA14" s="72">
        <f>IFERROR(__xludf.DUMMYFUNCTION("SUMPRODUCT(REGEXMATCH(CAC!$B$44:$B$59,""Novo - Contratar""),CAC!L44:L59&gt;0)
"),2.0)</f>
        <v>2</v>
      </c>
      <c r="AB14" s="72">
        <f>IFERROR(__xludf.DUMMYFUNCTION("SUMPRODUCT(REGEXMATCH(CAC!$B$44:$B$59,""Novo - Contratar""),CAC!M44:M59&gt;0)
"),2.0)</f>
        <v>2</v>
      </c>
      <c r="AC14" s="72">
        <f>IFERROR(__xludf.DUMMYFUNCTION("SUMPRODUCT(REGEXMATCH(CAC!$B$44:$B$59,""Novo - Contratar""),CAC!N44:N59&gt;0)
"),2.0)</f>
        <v>2</v>
      </c>
    </row>
    <row r="15">
      <c r="B15" s="12" t="s">
        <v>589</v>
      </c>
      <c r="C15" s="72">
        <f>count(CAC!C66:C71)</f>
        <v>2</v>
      </c>
      <c r="D15" s="72">
        <f>count(CAC!D66:D71)</f>
        <v>2</v>
      </c>
      <c r="E15" s="72">
        <f>count(CAC!E66:E71)</f>
        <v>2</v>
      </c>
      <c r="F15" s="72">
        <f>count(CAC!F66:F71)</f>
        <v>2</v>
      </c>
      <c r="G15" s="72">
        <f>count(CAC!G66:G71)</f>
        <v>2</v>
      </c>
      <c r="H15" s="72">
        <f>count(CAC!H66:H71)</f>
        <v>2</v>
      </c>
      <c r="I15" s="72">
        <f>count(CAC!I66:I71)</f>
        <v>2</v>
      </c>
      <c r="J15" s="72">
        <f>count(CAC!J66:J71)</f>
        <v>2</v>
      </c>
      <c r="K15" s="72">
        <f>count(CAC!K66:K71)</f>
        <v>2</v>
      </c>
      <c r="L15" s="72">
        <f>count(CAC!L66:L71)</f>
        <v>2</v>
      </c>
      <c r="M15" s="72">
        <f>count(CAC!M66:M71)</f>
        <v>2</v>
      </c>
      <c r="N15" s="72">
        <f>count(CAC!N66:N71)</f>
        <v>2</v>
      </c>
      <c r="Q15" s="12" t="s">
        <v>589</v>
      </c>
      <c r="R15" s="72">
        <f>IFERROR(__xludf.DUMMYFUNCTION("SUMPRODUCT(REGEXMATCH(CAC!$B$66:$B$71,""Novo - Contratar""),CAC!C66:C71&gt;0)
"),0.0)</f>
        <v>0</v>
      </c>
      <c r="S15" s="72">
        <f>IFERROR(__xludf.DUMMYFUNCTION("SUMPRODUCT(REGEXMATCH(CAC!$B$66:$B$71,""Novo - Contratar""),CAC!D66:D71&gt;0)
"),0.0)</f>
        <v>0</v>
      </c>
      <c r="T15" s="72">
        <f>IFERROR(__xludf.DUMMYFUNCTION("SUMPRODUCT(REGEXMATCH(CAC!$B$66:$B$71,""Novo - Contratar""),CAC!E66:E71&gt;0)
"),0.0)</f>
        <v>0</v>
      </c>
      <c r="U15" s="72">
        <f>IFERROR(__xludf.DUMMYFUNCTION("SUMPRODUCT(REGEXMATCH(CAC!$B$66:$B$71,""Novo - Contratar""),CAC!F66:F71&gt;0)
"),0.0)</f>
        <v>0</v>
      </c>
      <c r="V15" s="72">
        <f>IFERROR(__xludf.DUMMYFUNCTION("SUMPRODUCT(REGEXMATCH(CAC!$B$66:$B$71,""Novo - Contratar""),CAC!G66:G71&gt;0)
"),0.0)</f>
        <v>0</v>
      </c>
      <c r="W15" s="72">
        <f>IFERROR(__xludf.DUMMYFUNCTION("SUMPRODUCT(REGEXMATCH(CAC!$B$66:$B$71,""Novo - Contratar""),CAC!H66:H71&gt;0)
"),0.0)</f>
        <v>0</v>
      </c>
      <c r="X15" s="72">
        <f>IFERROR(__xludf.DUMMYFUNCTION("SUMPRODUCT(REGEXMATCH(CAC!$B$66:$B$71,""Novo - Contratar""),CAC!I66:I71&gt;0)
"),0.0)</f>
        <v>0</v>
      </c>
      <c r="Y15" s="72">
        <f>IFERROR(__xludf.DUMMYFUNCTION("SUMPRODUCT(REGEXMATCH(CAC!$B$66:$B$71,""Novo - Contratar""),CAC!J66:J71&gt;0)
"),0.0)</f>
        <v>0</v>
      </c>
      <c r="Z15" s="72">
        <f>IFERROR(__xludf.DUMMYFUNCTION("SUMPRODUCT(REGEXMATCH(CAC!$B$66:$B$71,""Novo - Contratar""),CAC!K66:K71&gt;0)
"),0.0)</f>
        <v>0</v>
      </c>
      <c r="AA15" s="72">
        <f>IFERROR(__xludf.DUMMYFUNCTION("SUMPRODUCT(REGEXMATCH(CAC!$B$66:$B$71,""Novo - Contratar""),CAC!L66:L71&gt;0)
"),0.0)</f>
        <v>0</v>
      </c>
      <c r="AB15" s="72">
        <f>IFERROR(__xludf.DUMMYFUNCTION("SUMPRODUCT(REGEXMATCH(CAC!$B$66:$B$71,""Novo - Contratar""),CAC!M66:M71&gt;0)
"),0.0)</f>
        <v>0</v>
      </c>
      <c r="AC15" s="72">
        <f>IFERROR(__xludf.DUMMYFUNCTION("SUMPRODUCT(REGEXMATCH(CAC!$B$66:$B$71,""Novo - Contratar""),CAC!N66:N71&gt;0)
"),0.0)</f>
        <v>0</v>
      </c>
    </row>
    <row r="16">
      <c r="B16" s="12" t="s">
        <v>431</v>
      </c>
      <c r="C16" s="72">
        <f>count(CAC!C77:C86)</f>
        <v>7</v>
      </c>
      <c r="D16" s="72">
        <f>count(CAC!D77:D86)</f>
        <v>7</v>
      </c>
      <c r="E16" s="72">
        <f>count(CAC!E77:E86)</f>
        <v>7</v>
      </c>
      <c r="F16" s="72">
        <f>count(CAC!F77:F86)</f>
        <v>9</v>
      </c>
      <c r="G16" s="72">
        <f>count(CAC!G77:G86)</f>
        <v>9</v>
      </c>
      <c r="H16" s="72">
        <f>count(CAC!H77:H86)</f>
        <v>9</v>
      </c>
      <c r="I16" s="72">
        <f>count(CAC!I77:I86)</f>
        <v>9</v>
      </c>
      <c r="J16" s="72">
        <f>count(CAC!J77:J86)</f>
        <v>9</v>
      </c>
      <c r="K16" s="72">
        <f>count(CAC!K77:K86)</f>
        <v>9</v>
      </c>
      <c r="L16" s="72">
        <f>count(CAC!L77:L86)</f>
        <v>9</v>
      </c>
      <c r="M16" s="72">
        <f>count(CAC!M77:M86)</f>
        <v>9</v>
      </c>
      <c r="N16" s="72">
        <f>count(CAC!N77:N86)</f>
        <v>9</v>
      </c>
      <c r="Q16" s="12" t="s">
        <v>431</v>
      </c>
      <c r="R16" s="72">
        <f>IFERROR(__xludf.DUMMYFUNCTION("SUMPRODUCT(REGEXMATCH(CAC!$B$77:$B$86,""Novo - Contratar""),CAC!C77:C86&gt;0)
"),1.0)</f>
        <v>1</v>
      </c>
      <c r="S16" s="72">
        <f>IFERROR(__xludf.DUMMYFUNCTION("SUMPRODUCT(REGEXMATCH(CAC!$B$77:$B$86,""Novo - Contratar""),CAC!D77:D86&gt;0)
"),1.0)</f>
        <v>1</v>
      </c>
      <c r="T16" s="72">
        <f>IFERROR(__xludf.DUMMYFUNCTION("SUMPRODUCT(REGEXMATCH(CAC!$B$77:$B$86,""Novo - Contratar""),CAC!E77:E86&gt;0)
"),1.0)</f>
        <v>1</v>
      </c>
      <c r="U16" s="72">
        <f>IFERROR(__xludf.DUMMYFUNCTION("SUMPRODUCT(REGEXMATCH(CAC!$B$77:$B$86,""Novo - Contratar""),CAC!F77:F86&gt;0)
"),3.0)</f>
        <v>3</v>
      </c>
      <c r="V16" s="72">
        <f>IFERROR(__xludf.DUMMYFUNCTION("SUMPRODUCT(REGEXMATCH(CAC!$B$77:$B$86,""Novo - Contratar""),CAC!G77:G86&gt;0)
"),3.0)</f>
        <v>3</v>
      </c>
      <c r="W16" s="72">
        <f>IFERROR(__xludf.DUMMYFUNCTION("SUMPRODUCT(REGEXMATCH(CAC!$B$77:$B$86,""Novo - Contratar""),CAC!H77:H86&gt;0)
"),3.0)</f>
        <v>3</v>
      </c>
      <c r="X16" s="72">
        <f>IFERROR(__xludf.DUMMYFUNCTION("SUMPRODUCT(REGEXMATCH(CAC!$B$77:$B$86,""Novo - Contratar""),CAC!I77:I86&gt;0)
"),3.0)</f>
        <v>3</v>
      </c>
      <c r="Y16" s="72">
        <f>IFERROR(__xludf.DUMMYFUNCTION("SUMPRODUCT(REGEXMATCH(CAC!$B$77:$B$86,""Novo - Contratar""),CAC!J77:J86&gt;0)
"),3.0)</f>
        <v>3</v>
      </c>
      <c r="Z16" s="72">
        <f>IFERROR(__xludf.DUMMYFUNCTION("SUMPRODUCT(REGEXMATCH(CAC!$B$77:$B$86,""Novo - Contratar""),CAC!K77:K86&gt;0)
"),3.0)</f>
        <v>3</v>
      </c>
      <c r="AA16" s="72">
        <f>IFERROR(__xludf.DUMMYFUNCTION("SUMPRODUCT(REGEXMATCH(CAC!$B$77:$B$86,""Novo - Contratar""),CAC!L77:L86&gt;0)
"),3.0)</f>
        <v>3</v>
      </c>
      <c r="AB16" s="72">
        <f>IFERROR(__xludf.DUMMYFUNCTION("SUMPRODUCT(REGEXMATCH(CAC!$B$77:$B$86,""Novo - Contratar""),CAC!M77:M86&gt;0)
"),3.0)</f>
        <v>3</v>
      </c>
      <c r="AC16" s="72">
        <f>IFERROR(__xludf.DUMMYFUNCTION("SUMPRODUCT(REGEXMATCH(CAC!$B$77:$B$86,""Novo - Contratar""),CAC!N77:N86&gt;0)
"),3.0)</f>
        <v>3</v>
      </c>
    </row>
    <row r="17">
      <c r="B17" s="12" t="s">
        <v>157</v>
      </c>
      <c r="C17" s="72">
        <f>count('SG&amp;A'!C28:C37)</f>
        <v>9</v>
      </c>
      <c r="D17" s="72">
        <f>count('SG&amp;A'!D28:D37)</f>
        <v>9</v>
      </c>
      <c r="E17" s="72">
        <f>count('SG&amp;A'!E28:E37)</f>
        <v>9</v>
      </c>
      <c r="F17" s="72">
        <f>count('SG&amp;A'!F28:F37)</f>
        <v>8</v>
      </c>
      <c r="G17" s="72">
        <f>count('SG&amp;A'!G28:G37)</f>
        <v>8</v>
      </c>
      <c r="H17" s="72">
        <f>count('SG&amp;A'!H28:H37)</f>
        <v>9</v>
      </c>
      <c r="I17" s="72">
        <f>count('SG&amp;A'!I28:I37)</f>
        <v>9</v>
      </c>
      <c r="J17" s="72">
        <f>count('SG&amp;A'!J28:J37)</f>
        <v>9</v>
      </c>
      <c r="K17" s="72">
        <f>count('SG&amp;A'!K28:K37)</f>
        <v>9</v>
      </c>
      <c r="L17" s="72">
        <f>count('SG&amp;A'!L28:L37)</f>
        <v>9</v>
      </c>
      <c r="M17" s="72">
        <f>count('SG&amp;A'!M28:M37)</f>
        <v>9</v>
      </c>
      <c r="N17" s="72">
        <f>count('SG&amp;A'!N28:N37)</f>
        <v>9</v>
      </c>
      <c r="Q17" s="12" t="s">
        <v>157</v>
      </c>
      <c r="R17" s="72">
        <f>IFERROR(__xludf.DUMMYFUNCTION("SUMPRODUCT(REGEXMATCH('SG&amp;A'!$B$28:$B$37,""Novo - Contratar""),'SG&amp;A'!C28:C37&gt;0)
"),0.0)</f>
        <v>0</v>
      </c>
      <c r="S17" s="72">
        <f>IFERROR(__xludf.DUMMYFUNCTION("SUMPRODUCT(REGEXMATCH('SG&amp;A'!$B$28:$B$37,""Novo - Contratar""),'SG&amp;A'!D28:D37&gt;0)
"),0.0)</f>
        <v>0</v>
      </c>
      <c r="T17" s="72">
        <f>IFERROR(__xludf.DUMMYFUNCTION("SUMPRODUCT(REGEXMATCH('SG&amp;A'!$B$28:$B$37,""Novo - Contratar""),'SG&amp;A'!E28:E37&gt;0)
"),0.0)</f>
        <v>0</v>
      </c>
      <c r="U17" s="72">
        <f>IFERROR(__xludf.DUMMYFUNCTION("SUMPRODUCT(REGEXMATCH('SG&amp;A'!$B$28:$B$37,""Novo - Contratar""),'SG&amp;A'!F28:F37&gt;0)
"),0.0)</f>
        <v>0</v>
      </c>
      <c r="V17" s="72">
        <f>IFERROR(__xludf.DUMMYFUNCTION("SUMPRODUCT(REGEXMATCH('SG&amp;A'!$B$28:$B$37,""Novo - Contratar""),'SG&amp;A'!G28:G37&gt;0)
"),0.0)</f>
        <v>0</v>
      </c>
      <c r="W17" s="72">
        <f>IFERROR(__xludf.DUMMYFUNCTION("SUMPRODUCT(REGEXMATCH('SG&amp;A'!$B$28:$B$37,""Novo - Contratar""),'SG&amp;A'!H28:H37&gt;0)
"),1.0)</f>
        <v>1</v>
      </c>
      <c r="X17" s="72">
        <f>IFERROR(__xludf.DUMMYFUNCTION("SUMPRODUCT(REGEXMATCH('SG&amp;A'!$B$28:$B$37,""Novo - Contratar""),'SG&amp;A'!I28:I37&gt;0)
"),1.0)</f>
        <v>1</v>
      </c>
      <c r="Y17" s="72">
        <f>IFERROR(__xludf.DUMMYFUNCTION("SUMPRODUCT(REGEXMATCH('SG&amp;A'!$B$28:$B$37,""Novo - Contratar""),'SG&amp;A'!J28:J37&gt;0)
"),1.0)</f>
        <v>1</v>
      </c>
      <c r="Z17" s="72">
        <f>IFERROR(__xludf.DUMMYFUNCTION("SUMPRODUCT(REGEXMATCH('SG&amp;A'!$B$28:$B$37,""Novo - Contratar""),'SG&amp;A'!K28:K37&gt;0)
"),1.0)</f>
        <v>1</v>
      </c>
      <c r="AA17" s="72">
        <f>IFERROR(__xludf.DUMMYFUNCTION("SUMPRODUCT(REGEXMATCH('SG&amp;A'!$B$28:$B$37,""Novo - Contratar""),'SG&amp;A'!L28:L37&gt;0)
"),1.0)</f>
        <v>1</v>
      </c>
      <c r="AB17" s="72">
        <f>IFERROR(__xludf.DUMMYFUNCTION("SUMPRODUCT(REGEXMATCH('SG&amp;A'!$B$28:$B$37,""Novo - Contratar""),'SG&amp;A'!M28:M37&gt;0)
"),1.0)</f>
        <v>1</v>
      </c>
      <c r="AC17" s="72">
        <f>IFERROR(__xludf.DUMMYFUNCTION("SUMPRODUCT(REGEXMATCH('SG&amp;A'!$B$28:$B$37,""Novo - Contratar""),'SG&amp;A'!N28:N37&gt;0)
"),1.0)</f>
        <v>1</v>
      </c>
    </row>
    <row r="18">
      <c r="B18" s="12" t="s">
        <v>152</v>
      </c>
      <c r="C18" s="72">
        <f>count('SG&amp;A'!C20:C22)</f>
        <v>3</v>
      </c>
      <c r="D18" s="72">
        <f>count('SG&amp;A'!D20:D22)</f>
        <v>3</v>
      </c>
      <c r="E18" s="72">
        <f>count('SG&amp;A'!E20:E22)</f>
        <v>3</v>
      </c>
      <c r="F18" s="72">
        <f>count('SG&amp;A'!F20:F22)</f>
        <v>3</v>
      </c>
      <c r="G18" s="72">
        <f>count('SG&amp;A'!G20:G22)</f>
        <v>3</v>
      </c>
      <c r="H18" s="72">
        <f>count('SG&amp;A'!H20:H22)</f>
        <v>3</v>
      </c>
      <c r="I18" s="72">
        <f>count('SG&amp;A'!I20:I22)</f>
        <v>3</v>
      </c>
      <c r="J18" s="72">
        <f>count('SG&amp;A'!J20:J22)</f>
        <v>3</v>
      </c>
      <c r="K18" s="72">
        <f>count('SG&amp;A'!K20:K22)</f>
        <v>3</v>
      </c>
      <c r="L18" s="72">
        <f>count('SG&amp;A'!L20:L22)</f>
        <v>3</v>
      </c>
      <c r="M18" s="72">
        <f>count('SG&amp;A'!M20:M22)</f>
        <v>3</v>
      </c>
      <c r="N18" s="72">
        <f>count('SG&amp;A'!N20:N22)</f>
        <v>3</v>
      </c>
      <c r="Q18" s="12" t="s">
        <v>152</v>
      </c>
      <c r="R18" s="72">
        <f>IFERROR(__xludf.DUMMYFUNCTION("SUMPRODUCT(REGEXMATCH('SG&amp;A'!$B$20:$B$22,""Novo - Contratar""),'SG&amp;A'!C20:C22&gt;0)
"),0.0)</f>
        <v>0</v>
      </c>
      <c r="S18" s="72">
        <f>IFERROR(__xludf.DUMMYFUNCTION("SUMPRODUCT(REGEXMATCH('SG&amp;A'!$B$20:$B$22,""Novo - Contratar""),'SG&amp;A'!D20:D22&gt;0)
"),0.0)</f>
        <v>0</v>
      </c>
      <c r="T18" s="72">
        <f>IFERROR(__xludf.DUMMYFUNCTION("SUMPRODUCT(REGEXMATCH('SG&amp;A'!$B$20:$B$22,""Novo - Contratar""),'SG&amp;A'!E20:E22&gt;0)
"),0.0)</f>
        <v>0</v>
      </c>
      <c r="U18" s="72">
        <f>IFERROR(__xludf.DUMMYFUNCTION("SUMPRODUCT(REGEXMATCH('SG&amp;A'!$B$20:$B$22,""Novo - Contratar""),'SG&amp;A'!F20:F22&gt;0)
"),0.0)</f>
        <v>0</v>
      </c>
      <c r="V18" s="72">
        <f>IFERROR(__xludf.DUMMYFUNCTION("SUMPRODUCT(REGEXMATCH('SG&amp;A'!$B$20:$B$22,""Novo - Contratar""),'SG&amp;A'!G20:G22&gt;0)
"),0.0)</f>
        <v>0</v>
      </c>
      <c r="W18" s="72">
        <f>IFERROR(__xludf.DUMMYFUNCTION("SUMPRODUCT(REGEXMATCH('SG&amp;A'!$B$20:$B$22,""Novo - Contratar""),'SG&amp;A'!H20:H22&gt;0)
"),0.0)</f>
        <v>0</v>
      </c>
      <c r="X18" s="72">
        <f>IFERROR(__xludf.DUMMYFUNCTION("SUMPRODUCT(REGEXMATCH('SG&amp;A'!$B$20:$B$22,""Novo - Contratar""),'SG&amp;A'!I20:I22&gt;0)
"),0.0)</f>
        <v>0</v>
      </c>
      <c r="Y18" s="72">
        <f>IFERROR(__xludf.DUMMYFUNCTION("SUMPRODUCT(REGEXMATCH('SG&amp;A'!$B$20:$B$22,""Novo - Contratar""),'SG&amp;A'!J20:J22&gt;0)
"),0.0)</f>
        <v>0</v>
      </c>
      <c r="Z18" s="72">
        <f>IFERROR(__xludf.DUMMYFUNCTION("SUMPRODUCT(REGEXMATCH('SG&amp;A'!$B$20:$B$22,""Novo - Contratar""),'SG&amp;A'!K20:K22&gt;0)
"),0.0)</f>
        <v>0</v>
      </c>
      <c r="AA18" s="72">
        <f>IFERROR(__xludf.DUMMYFUNCTION("SUMPRODUCT(REGEXMATCH('SG&amp;A'!$B$20:$B$22,""Novo - Contratar""),'SG&amp;A'!L20:L22&gt;0)
"),0.0)</f>
        <v>0</v>
      </c>
      <c r="AB18" s="72">
        <f>IFERROR(__xludf.DUMMYFUNCTION("SUMPRODUCT(REGEXMATCH('SG&amp;A'!$B$20:$B$22,""Novo - Contratar""),'SG&amp;A'!M20:M22&gt;0)
"),0.0)</f>
        <v>0</v>
      </c>
      <c r="AC18" s="72">
        <f>IFERROR(__xludf.DUMMYFUNCTION("SUMPRODUCT(REGEXMATCH('SG&amp;A'!$B$20:$B$22,""Novo - Contratar""),'SG&amp;A'!N20:N22&gt;0)
"),0.0)</f>
        <v>0</v>
      </c>
    </row>
    <row r="19">
      <c r="B19" s="137" t="s">
        <v>93</v>
      </c>
      <c r="C19" s="153">
        <f t="shared" ref="C19:N19" si="1">SUM(C2:C18)</f>
        <v>109</v>
      </c>
      <c r="D19" s="153">
        <f t="shared" si="1"/>
        <v>117</v>
      </c>
      <c r="E19" s="153">
        <f t="shared" si="1"/>
        <v>122</v>
      </c>
      <c r="F19" s="153">
        <f t="shared" si="1"/>
        <v>134</v>
      </c>
      <c r="G19" s="153">
        <f t="shared" si="1"/>
        <v>138</v>
      </c>
      <c r="H19" s="153">
        <f t="shared" si="1"/>
        <v>140</v>
      </c>
      <c r="I19" s="153">
        <f t="shared" si="1"/>
        <v>146</v>
      </c>
      <c r="J19" s="153">
        <f t="shared" si="1"/>
        <v>151</v>
      </c>
      <c r="K19" s="153">
        <f t="shared" si="1"/>
        <v>154</v>
      </c>
      <c r="L19" s="153">
        <f t="shared" si="1"/>
        <v>161</v>
      </c>
      <c r="M19" s="153">
        <f t="shared" si="1"/>
        <v>164</v>
      </c>
      <c r="N19" s="153">
        <f t="shared" si="1"/>
        <v>168</v>
      </c>
      <c r="Q19" s="137" t="s">
        <v>93</v>
      </c>
      <c r="R19" s="153">
        <f t="shared" ref="R19:AC19" si="2">SUM(R2:R18)</f>
        <v>7</v>
      </c>
      <c r="S19" s="153">
        <f t="shared" si="2"/>
        <v>15</v>
      </c>
      <c r="T19" s="153">
        <f t="shared" si="2"/>
        <v>20</v>
      </c>
      <c r="U19" s="153">
        <f t="shared" si="2"/>
        <v>33</v>
      </c>
      <c r="V19" s="153">
        <f t="shared" si="2"/>
        <v>37</v>
      </c>
      <c r="W19" s="153">
        <f t="shared" si="2"/>
        <v>39</v>
      </c>
      <c r="X19" s="153">
        <f t="shared" si="2"/>
        <v>45</v>
      </c>
      <c r="Y19" s="153">
        <f t="shared" si="2"/>
        <v>50</v>
      </c>
      <c r="Z19" s="153">
        <f t="shared" si="2"/>
        <v>53</v>
      </c>
      <c r="AA19" s="153">
        <f t="shared" si="2"/>
        <v>60</v>
      </c>
      <c r="AB19" s="153">
        <f t="shared" si="2"/>
        <v>63</v>
      </c>
      <c r="AC19" s="153">
        <f t="shared" si="2"/>
        <v>67</v>
      </c>
    </row>
    <row r="20"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Q20" s="1"/>
    </row>
    <row r="22">
      <c r="B22" s="155" t="s">
        <v>149</v>
      </c>
      <c r="C22" s="34">
        <v>5000.0</v>
      </c>
      <c r="D22" s="34">
        <v>5000.0</v>
      </c>
      <c r="E22" s="34">
        <v>5000.0</v>
      </c>
      <c r="F22" s="34">
        <v>5000.0</v>
      </c>
      <c r="G22" s="34">
        <v>5000.0</v>
      </c>
      <c r="H22" s="34">
        <v>5000.0</v>
      </c>
      <c r="I22" s="34">
        <v>5000.0</v>
      </c>
      <c r="J22" s="34">
        <v>5000.0</v>
      </c>
      <c r="K22" s="34">
        <v>5000.0</v>
      </c>
      <c r="L22" s="34">
        <v>5000.0</v>
      </c>
      <c r="M22" s="34">
        <v>5000.0</v>
      </c>
      <c r="N22" s="34">
        <v>5000.0</v>
      </c>
      <c r="O22" s="37">
        <f t="shared" ref="O22:O23" si="4">SUM(C22:N22)</f>
        <v>60000</v>
      </c>
      <c r="Q22" s="30" t="s">
        <v>209</v>
      </c>
      <c r="R22" s="156">
        <f t="shared" ref="R22:AC22" si="3">C2+C9</f>
        <v>20</v>
      </c>
      <c r="S22" s="156">
        <f t="shared" si="3"/>
        <v>22</v>
      </c>
      <c r="T22" s="156">
        <f t="shared" si="3"/>
        <v>23</v>
      </c>
      <c r="U22" s="156">
        <f t="shared" si="3"/>
        <v>24</v>
      </c>
      <c r="V22" s="156">
        <f t="shared" si="3"/>
        <v>25</v>
      </c>
      <c r="W22" s="156">
        <f t="shared" si="3"/>
        <v>25</v>
      </c>
      <c r="X22" s="156">
        <f t="shared" si="3"/>
        <v>27</v>
      </c>
      <c r="Y22" s="156">
        <f t="shared" si="3"/>
        <v>27</v>
      </c>
      <c r="Z22" s="156">
        <f t="shared" si="3"/>
        <v>28</v>
      </c>
      <c r="AA22" s="156">
        <f t="shared" si="3"/>
        <v>30</v>
      </c>
      <c r="AB22" s="156">
        <f t="shared" si="3"/>
        <v>30</v>
      </c>
      <c r="AC22" s="156">
        <f t="shared" si="3"/>
        <v>31</v>
      </c>
    </row>
    <row r="23">
      <c r="B23" s="155" t="s">
        <v>150</v>
      </c>
      <c r="C23" s="34">
        <v>30000.0</v>
      </c>
      <c r="D23" s="34">
        <v>10000.0</v>
      </c>
      <c r="E23" s="34">
        <v>10000.0</v>
      </c>
      <c r="F23" s="34">
        <v>10000.0</v>
      </c>
      <c r="G23" s="34">
        <v>10000.0</v>
      </c>
      <c r="H23" s="34">
        <v>10000.0</v>
      </c>
      <c r="I23" s="34">
        <v>10000.0</v>
      </c>
      <c r="J23" s="34">
        <v>10000.0</v>
      </c>
      <c r="K23" s="34">
        <v>10000.0</v>
      </c>
      <c r="L23" s="34">
        <v>10000.0</v>
      </c>
      <c r="M23" s="34">
        <v>20000.0</v>
      </c>
      <c r="N23" s="34">
        <v>40000.0</v>
      </c>
      <c r="O23" s="37">
        <f t="shared" si="4"/>
        <v>180000</v>
      </c>
      <c r="P23" s="119"/>
      <c r="Q23" s="30" t="s">
        <v>590</v>
      </c>
      <c r="R23" s="156">
        <f t="shared" ref="R23:AC23" si="5">C4+C6+C8</f>
        <v>12</v>
      </c>
      <c r="S23" s="156">
        <f t="shared" si="5"/>
        <v>15</v>
      </c>
      <c r="T23" s="156">
        <f t="shared" si="5"/>
        <v>16</v>
      </c>
      <c r="U23" s="156">
        <f t="shared" si="5"/>
        <v>18</v>
      </c>
      <c r="V23" s="156">
        <f t="shared" si="5"/>
        <v>19</v>
      </c>
      <c r="W23" s="156">
        <f t="shared" si="5"/>
        <v>19</v>
      </c>
      <c r="X23" s="156">
        <f t="shared" si="5"/>
        <v>20</v>
      </c>
      <c r="Y23" s="156">
        <f t="shared" si="5"/>
        <v>21</v>
      </c>
      <c r="Z23" s="156">
        <f t="shared" si="5"/>
        <v>22</v>
      </c>
      <c r="AA23" s="156">
        <f t="shared" si="5"/>
        <v>23</v>
      </c>
      <c r="AB23" s="156">
        <f t="shared" si="5"/>
        <v>25</v>
      </c>
      <c r="AC23" s="156">
        <f t="shared" si="5"/>
        <v>25</v>
      </c>
    </row>
    <row r="24">
      <c r="Q24" s="30" t="s">
        <v>591</v>
      </c>
      <c r="R24" s="156">
        <f t="shared" ref="R24:AC24" si="6">C3+C5+C7</f>
        <v>16</v>
      </c>
      <c r="S24" s="156">
        <f t="shared" si="6"/>
        <v>17</v>
      </c>
      <c r="T24" s="156">
        <f t="shared" si="6"/>
        <v>17</v>
      </c>
      <c r="U24" s="156">
        <f t="shared" si="6"/>
        <v>22</v>
      </c>
      <c r="V24" s="156">
        <f t="shared" si="6"/>
        <v>22</v>
      </c>
      <c r="W24" s="156">
        <f t="shared" si="6"/>
        <v>23</v>
      </c>
      <c r="X24" s="156">
        <f t="shared" si="6"/>
        <v>24</v>
      </c>
      <c r="Y24" s="156">
        <f t="shared" si="6"/>
        <v>26</v>
      </c>
      <c r="Z24" s="156">
        <f t="shared" si="6"/>
        <v>26</v>
      </c>
      <c r="AA24" s="156">
        <f t="shared" si="6"/>
        <v>28</v>
      </c>
      <c r="AB24" s="156">
        <f t="shared" si="6"/>
        <v>29</v>
      </c>
      <c r="AC24" s="156">
        <f t="shared" si="6"/>
        <v>30</v>
      </c>
    </row>
    <row r="25">
      <c r="B25" s="12" t="s">
        <v>592</v>
      </c>
      <c r="C25" s="34">
        <f>7500+500+1800+5200+850+150</f>
        <v>16000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37">
        <f t="shared" ref="O25:O39" si="8">sum(C25:N25)</f>
        <v>16000</v>
      </c>
      <c r="Q25" s="30" t="s">
        <v>291</v>
      </c>
      <c r="R25" s="156">
        <f t="shared" ref="R25:AC25" si="7">C10</f>
        <v>6</v>
      </c>
      <c r="S25" s="156">
        <f t="shared" si="7"/>
        <v>6</v>
      </c>
      <c r="T25" s="156">
        <f t="shared" si="7"/>
        <v>7</v>
      </c>
      <c r="U25" s="156">
        <f t="shared" si="7"/>
        <v>8</v>
      </c>
      <c r="V25" s="156">
        <f t="shared" si="7"/>
        <v>9</v>
      </c>
      <c r="W25" s="156">
        <f t="shared" si="7"/>
        <v>9</v>
      </c>
      <c r="X25" s="156">
        <f t="shared" si="7"/>
        <v>9</v>
      </c>
      <c r="Y25" s="156">
        <f t="shared" si="7"/>
        <v>10</v>
      </c>
      <c r="Z25" s="156">
        <f t="shared" si="7"/>
        <v>10</v>
      </c>
      <c r="AA25" s="156">
        <f t="shared" si="7"/>
        <v>11</v>
      </c>
      <c r="AB25" s="156">
        <f t="shared" si="7"/>
        <v>11</v>
      </c>
      <c r="AC25" s="156">
        <f t="shared" si="7"/>
        <v>11</v>
      </c>
    </row>
    <row r="26">
      <c r="B26" s="12" t="s">
        <v>593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34">
        <f>100*Overview!N42</f>
        <v>16800</v>
      </c>
      <c r="O26" s="37">
        <f t="shared" si="8"/>
        <v>16800</v>
      </c>
      <c r="P26" s="119"/>
      <c r="Q26" s="30" t="s">
        <v>594</v>
      </c>
      <c r="R26" s="156">
        <f t="shared" ref="R26:AC26" si="9">C11</f>
        <v>6</v>
      </c>
      <c r="S26" s="156">
        <f t="shared" si="9"/>
        <v>7</v>
      </c>
      <c r="T26" s="156">
        <f t="shared" si="9"/>
        <v>7</v>
      </c>
      <c r="U26" s="156">
        <f t="shared" si="9"/>
        <v>7</v>
      </c>
      <c r="V26" s="156">
        <f t="shared" si="9"/>
        <v>8</v>
      </c>
      <c r="W26" s="156">
        <f t="shared" si="9"/>
        <v>8</v>
      </c>
      <c r="X26" s="156">
        <f t="shared" si="9"/>
        <v>9</v>
      </c>
      <c r="Y26" s="156">
        <f t="shared" si="9"/>
        <v>9</v>
      </c>
      <c r="Z26" s="156">
        <f t="shared" si="9"/>
        <v>9</v>
      </c>
      <c r="AA26" s="156">
        <f t="shared" si="9"/>
        <v>9</v>
      </c>
      <c r="AB26" s="156">
        <f t="shared" si="9"/>
        <v>9</v>
      </c>
      <c r="AC26" s="156">
        <f t="shared" si="9"/>
        <v>10</v>
      </c>
    </row>
    <row r="27">
      <c r="B27" s="12" t="s">
        <v>595</v>
      </c>
      <c r="C27" s="34">
        <v>1000.0</v>
      </c>
      <c r="D27" s="55"/>
      <c r="E27" s="34">
        <v>3000.0</v>
      </c>
      <c r="F27" s="55"/>
      <c r="G27" s="34">
        <v>3000.0</v>
      </c>
      <c r="H27" s="55"/>
      <c r="I27" s="34">
        <v>3000.0</v>
      </c>
      <c r="J27" s="55"/>
      <c r="K27" s="34">
        <v>3000.0</v>
      </c>
      <c r="L27" s="55"/>
      <c r="M27" s="34">
        <v>3000.0</v>
      </c>
      <c r="N27" s="55"/>
      <c r="O27" s="37">
        <f t="shared" si="8"/>
        <v>16000</v>
      </c>
      <c r="P27" s="157"/>
      <c r="Q27" s="30" t="s">
        <v>313</v>
      </c>
      <c r="R27" s="156">
        <f t="shared" ref="R27:AC27" si="10">C12</f>
        <v>13</v>
      </c>
      <c r="S27" s="156">
        <f t="shared" si="10"/>
        <v>13</v>
      </c>
      <c r="T27" s="156">
        <f t="shared" si="10"/>
        <v>13</v>
      </c>
      <c r="U27" s="156">
        <f t="shared" si="10"/>
        <v>14</v>
      </c>
      <c r="V27" s="156">
        <f t="shared" si="10"/>
        <v>14</v>
      </c>
      <c r="W27" s="156">
        <f t="shared" si="10"/>
        <v>14</v>
      </c>
      <c r="X27" s="156">
        <f t="shared" si="10"/>
        <v>15</v>
      </c>
      <c r="Y27" s="156">
        <f t="shared" si="10"/>
        <v>15</v>
      </c>
      <c r="Z27" s="156">
        <f t="shared" si="10"/>
        <v>15</v>
      </c>
      <c r="AA27" s="156">
        <f t="shared" si="10"/>
        <v>15</v>
      </c>
      <c r="AB27" s="156">
        <f t="shared" si="10"/>
        <v>15</v>
      </c>
      <c r="AC27" s="156">
        <f t="shared" si="10"/>
        <v>15</v>
      </c>
    </row>
    <row r="28">
      <c r="B28" s="12" t="s">
        <v>596</v>
      </c>
      <c r="C28" s="34"/>
      <c r="D28" s="55"/>
      <c r="E28" s="34"/>
      <c r="F28" s="34">
        <v>2500.0</v>
      </c>
      <c r="G28" s="34"/>
      <c r="H28" s="34">
        <v>2500.0</v>
      </c>
      <c r="I28" s="55"/>
      <c r="J28" s="34">
        <v>2500.0</v>
      </c>
      <c r="K28" s="34"/>
      <c r="L28" s="34">
        <v>2500.0</v>
      </c>
      <c r="M28" s="34"/>
      <c r="N28" s="55"/>
      <c r="O28" s="37">
        <f t="shared" si="8"/>
        <v>10000</v>
      </c>
      <c r="P28" s="119"/>
      <c r="Q28" s="30" t="s">
        <v>21</v>
      </c>
      <c r="R28" s="156">
        <f t="shared" ref="R28:AC28" si="11">C14</f>
        <v>6</v>
      </c>
      <c r="S28" s="156">
        <f t="shared" si="11"/>
        <v>7</v>
      </c>
      <c r="T28" s="156">
        <f t="shared" si="11"/>
        <v>7</v>
      </c>
      <c r="U28" s="156">
        <f t="shared" si="11"/>
        <v>8</v>
      </c>
      <c r="V28" s="156">
        <f t="shared" si="11"/>
        <v>8</v>
      </c>
      <c r="W28" s="156">
        <f t="shared" si="11"/>
        <v>8</v>
      </c>
      <c r="X28" s="156">
        <f t="shared" si="11"/>
        <v>8</v>
      </c>
      <c r="Y28" s="156">
        <f t="shared" si="11"/>
        <v>8</v>
      </c>
      <c r="Z28" s="156">
        <f t="shared" si="11"/>
        <v>8</v>
      </c>
      <c r="AA28" s="156">
        <f t="shared" si="11"/>
        <v>8</v>
      </c>
      <c r="AB28" s="156">
        <f t="shared" si="11"/>
        <v>8</v>
      </c>
      <c r="AC28" s="156">
        <f t="shared" si="11"/>
        <v>8</v>
      </c>
    </row>
    <row r="29">
      <c r="B29" s="12" t="s">
        <v>597</v>
      </c>
      <c r="C29" s="34">
        <v>1400.0</v>
      </c>
      <c r="D29" s="34">
        <v>1400.0</v>
      </c>
      <c r="E29" s="34">
        <v>1400.0</v>
      </c>
      <c r="F29" s="34">
        <v>1400.0</v>
      </c>
      <c r="G29" s="34">
        <v>1400.0</v>
      </c>
      <c r="H29" s="34">
        <v>1400.0</v>
      </c>
      <c r="I29" s="34">
        <v>1400.0</v>
      </c>
      <c r="J29" s="34">
        <v>1400.0</v>
      </c>
      <c r="K29" s="34">
        <v>1400.0</v>
      </c>
      <c r="L29" s="34">
        <v>1400.0</v>
      </c>
      <c r="M29" s="34">
        <v>1400.0</v>
      </c>
      <c r="N29" s="34">
        <v>1400.0</v>
      </c>
      <c r="O29" s="37">
        <f t="shared" si="8"/>
        <v>16800</v>
      </c>
      <c r="P29" s="119"/>
      <c r="Q29" s="30" t="s">
        <v>598</v>
      </c>
      <c r="R29" s="156">
        <f t="shared" ref="R29:AC29" si="12">C13</f>
        <v>9</v>
      </c>
      <c r="S29" s="156">
        <f t="shared" si="12"/>
        <v>9</v>
      </c>
      <c r="T29" s="156">
        <f t="shared" si="12"/>
        <v>11</v>
      </c>
      <c r="U29" s="156">
        <f t="shared" si="12"/>
        <v>11</v>
      </c>
      <c r="V29" s="156">
        <f t="shared" si="12"/>
        <v>11</v>
      </c>
      <c r="W29" s="156">
        <f t="shared" si="12"/>
        <v>11</v>
      </c>
      <c r="X29" s="156">
        <f t="shared" si="12"/>
        <v>11</v>
      </c>
      <c r="Y29" s="156">
        <f t="shared" si="12"/>
        <v>12</v>
      </c>
      <c r="Z29" s="156">
        <f t="shared" si="12"/>
        <v>13</v>
      </c>
      <c r="AA29" s="156">
        <f t="shared" si="12"/>
        <v>14</v>
      </c>
      <c r="AB29" s="156">
        <f t="shared" si="12"/>
        <v>14</v>
      </c>
      <c r="AC29" s="156">
        <f t="shared" si="12"/>
        <v>15</v>
      </c>
    </row>
    <row r="30">
      <c r="B30" s="12" t="s">
        <v>599</v>
      </c>
      <c r="C30" s="34">
        <v>400.0</v>
      </c>
      <c r="D30" s="34">
        <v>400.0</v>
      </c>
      <c r="E30" s="34">
        <v>400.0</v>
      </c>
      <c r="F30" s="34">
        <v>400.0</v>
      </c>
      <c r="G30" s="34">
        <v>400.0</v>
      </c>
      <c r="H30" s="34">
        <v>400.0</v>
      </c>
      <c r="I30" s="34">
        <v>400.0</v>
      </c>
      <c r="J30" s="34">
        <v>400.0</v>
      </c>
      <c r="K30" s="34">
        <v>400.0</v>
      </c>
      <c r="L30" s="34">
        <v>400.0</v>
      </c>
      <c r="M30" s="34">
        <v>400.0</v>
      </c>
      <c r="N30" s="34">
        <v>400.0</v>
      </c>
      <c r="O30" s="37">
        <f t="shared" si="8"/>
        <v>4800</v>
      </c>
      <c r="P30" s="119"/>
      <c r="Q30" s="30" t="s">
        <v>600</v>
      </c>
      <c r="R30" s="156">
        <f t="shared" ref="R30:AC30" si="13">C15</f>
        <v>2</v>
      </c>
      <c r="S30" s="156">
        <f t="shared" si="13"/>
        <v>2</v>
      </c>
      <c r="T30" s="156">
        <f t="shared" si="13"/>
        <v>2</v>
      </c>
      <c r="U30" s="156">
        <f t="shared" si="13"/>
        <v>2</v>
      </c>
      <c r="V30" s="156">
        <f t="shared" si="13"/>
        <v>2</v>
      </c>
      <c r="W30" s="156">
        <f t="shared" si="13"/>
        <v>2</v>
      </c>
      <c r="X30" s="156">
        <f t="shared" si="13"/>
        <v>2</v>
      </c>
      <c r="Y30" s="156">
        <f t="shared" si="13"/>
        <v>2</v>
      </c>
      <c r="Z30" s="156">
        <f t="shared" si="13"/>
        <v>2</v>
      </c>
      <c r="AA30" s="156">
        <f t="shared" si="13"/>
        <v>2</v>
      </c>
      <c r="AB30" s="156">
        <f t="shared" si="13"/>
        <v>2</v>
      </c>
      <c r="AC30" s="156">
        <f t="shared" si="13"/>
        <v>2</v>
      </c>
    </row>
    <row r="31">
      <c r="B31" s="12" t="s">
        <v>601</v>
      </c>
      <c r="C31" s="34">
        <v>1250.0</v>
      </c>
      <c r="D31" s="34">
        <v>1250.0</v>
      </c>
      <c r="E31" s="34">
        <v>1250.0</v>
      </c>
      <c r="F31" s="34">
        <v>1250.0</v>
      </c>
      <c r="G31" s="34">
        <v>1250.0</v>
      </c>
      <c r="H31" s="34">
        <v>1250.0</v>
      </c>
      <c r="I31" s="34">
        <v>1250.0</v>
      </c>
      <c r="J31" s="34">
        <v>1250.0</v>
      </c>
      <c r="K31" s="34">
        <v>1250.0</v>
      </c>
      <c r="L31" s="34">
        <v>1250.0</v>
      </c>
      <c r="M31" s="34">
        <v>1250.0</v>
      </c>
      <c r="N31" s="34">
        <v>1250.0</v>
      </c>
      <c r="O31" s="37">
        <f t="shared" si="8"/>
        <v>15000</v>
      </c>
      <c r="P31" s="119"/>
      <c r="Q31" s="30" t="s">
        <v>431</v>
      </c>
      <c r="R31" s="156">
        <f t="shared" ref="R31:AC31" si="14">C16</f>
        <v>7</v>
      </c>
      <c r="S31" s="156">
        <f t="shared" si="14"/>
        <v>7</v>
      </c>
      <c r="T31" s="156">
        <f t="shared" si="14"/>
        <v>7</v>
      </c>
      <c r="U31" s="156">
        <f t="shared" si="14"/>
        <v>9</v>
      </c>
      <c r="V31" s="156">
        <f t="shared" si="14"/>
        <v>9</v>
      </c>
      <c r="W31" s="156">
        <f t="shared" si="14"/>
        <v>9</v>
      </c>
      <c r="X31" s="156">
        <f t="shared" si="14"/>
        <v>9</v>
      </c>
      <c r="Y31" s="156">
        <f t="shared" si="14"/>
        <v>9</v>
      </c>
      <c r="Z31" s="156">
        <f t="shared" si="14"/>
        <v>9</v>
      </c>
      <c r="AA31" s="156">
        <f t="shared" si="14"/>
        <v>9</v>
      </c>
      <c r="AB31" s="156">
        <f t="shared" si="14"/>
        <v>9</v>
      </c>
      <c r="AC31" s="156">
        <f t="shared" si="14"/>
        <v>9</v>
      </c>
    </row>
    <row r="32">
      <c r="B32" s="12" t="s">
        <v>602</v>
      </c>
      <c r="C32" s="34">
        <f t="shared" ref="C32:N32" si="15">1500</f>
        <v>1500</v>
      </c>
      <c r="D32" s="34">
        <f t="shared" si="15"/>
        <v>1500</v>
      </c>
      <c r="E32" s="34">
        <f t="shared" si="15"/>
        <v>1500</v>
      </c>
      <c r="F32" s="34">
        <f t="shared" si="15"/>
        <v>1500</v>
      </c>
      <c r="G32" s="34">
        <f t="shared" si="15"/>
        <v>1500</v>
      </c>
      <c r="H32" s="34">
        <f t="shared" si="15"/>
        <v>1500</v>
      </c>
      <c r="I32" s="34">
        <f t="shared" si="15"/>
        <v>1500</v>
      </c>
      <c r="J32" s="34">
        <f t="shared" si="15"/>
        <v>1500</v>
      </c>
      <c r="K32" s="34">
        <f t="shared" si="15"/>
        <v>1500</v>
      </c>
      <c r="L32" s="34">
        <f t="shared" si="15"/>
        <v>1500</v>
      </c>
      <c r="M32" s="34">
        <f t="shared" si="15"/>
        <v>1500</v>
      </c>
      <c r="N32" s="34">
        <f t="shared" si="15"/>
        <v>1500</v>
      </c>
      <c r="O32" s="37">
        <f t="shared" si="8"/>
        <v>18000</v>
      </c>
      <c r="P32" s="119"/>
      <c r="Q32" s="30" t="s">
        <v>157</v>
      </c>
      <c r="R32" s="156">
        <f t="shared" ref="R32:AC32" si="16">C17+C18</f>
        <v>12</v>
      </c>
      <c r="S32" s="156">
        <f t="shared" si="16"/>
        <v>12</v>
      </c>
      <c r="T32" s="156">
        <f t="shared" si="16"/>
        <v>12</v>
      </c>
      <c r="U32" s="156">
        <f t="shared" si="16"/>
        <v>11</v>
      </c>
      <c r="V32" s="156">
        <f t="shared" si="16"/>
        <v>11</v>
      </c>
      <c r="W32" s="156">
        <f t="shared" si="16"/>
        <v>12</v>
      </c>
      <c r="X32" s="156">
        <f t="shared" si="16"/>
        <v>12</v>
      </c>
      <c r="Y32" s="156">
        <f t="shared" si="16"/>
        <v>12</v>
      </c>
      <c r="Z32" s="156">
        <f t="shared" si="16"/>
        <v>12</v>
      </c>
      <c r="AA32" s="156">
        <f t="shared" si="16"/>
        <v>12</v>
      </c>
      <c r="AB32" s="156">
        <f t="shared" si="16"/>
        <v>12</v>
      </c>
      <c r="AC32" s="156">
        <f t="shared" si="16"/>
        <v>12</v>
      </c>
    </row>
    <row r="33">
      <c r="B33" s="12" t="s">
        <v>603</v>
      </c>
      <c r="C33" s="34">
        <v>850.0</v>
      </c>
      <c r="D33" s="34">
        <v>850.0</v>
      </c>
      <c r="E33" s="34">
        <v>850.0</v>
      </c>
      <c r="F33" s="34">
        <v>850.0</v>
      </c>
      <c r="G33" s="34">
        <v>850.0</v>
      </c>
      <c r="H33" s="34">
        <v>850.0</v>
      </c>
      <c r="I33" s="34">
        <v>850.0</v>
      </c>
      <c r="J33" s="34">
        <v>850.0</v>
      </c>
      <c r="K33" s="34">
        <v>850.0</v>
      </c>
      <c r="L33" s="34">
        <v>850.0</v>
      </c>
      <c r="M33" s="34">
        <v>850.0</v>
      </c>
      <c r="N33" s="34">
        <v>850.0</v>
      </c>
      <c r="O33" s="37">
        <f t="shared" si="8"/>
        <v>10200</v>
      </c>
      <c r="P33" s="119"/>
    </row>
    <row r="34">
      <c r="B34" s="12" t="s">
        <v>604</v>
      </c>
      <c r="C34" s="34">
        <v>2000.0</v>
      </c>
      <c r="D34" s="55"/>
      <c r="E34" s="34">
        <v>3000.0</v>
      </c>
      <c r="F34" s="55"/>
      <c r="G34" s="55"/>
      <c r="H34" s="34">
        <v>1500.0</v>
      </c>
      <c r="I34" s="55"/>
      <c r="J34" s="55"/>
      <c r="K34" s="34">
        <v>1500.0</v>
      </c>
      <c r="L34" s="55"/>
      <c r="M34" s="55"/>
      <c r="N34" s="34">
        <v>1500.0</v>
      </c>
      <c r="O34" s="37">
        <f t="shared" si="8"/>
        <v>9500</v>
      </c>
      <c r="P34" s="119"/>
    </row>
    <row r="35">
      <c r="B35" s="12" t="s">
        <v>605</v>
      </c>
      <c r="C35" s="34">
        <v>500.0</v>
      </c>
      <c r="D35" s="34">
        <v>500.0</v>
      </c>
      <c r="E35" s="34">
        <v>500.0</v>
      </c>
      <c r="F35" s="34">
        <v>500.0</v>
      </c>
      <c r="G35" s="34">
        <v>500.0</v>
      </c>
      <c r="H35" s="34">
        <v>500.0</v>
      </c>
      <c r="I35" s="34">
        <v>500.0</v>
      </c>
      <c r="J35" s="34">
        <v>500.0</v>
      </c>
      <c r="K35" s="34">
        <v>500.0</v>
      </c>
      <c r="L35" s="34">
        <v>500.0</v>
      </c>
      <c r="M35" s="34">
        <v>500.0</v>
      </c>
      <c r="N35" s="34">
        <v>500.0</v>
      </c>
      <c r="O35" s="37">
        <f t="shared" si="8"/>
        <v>6000</v>
      </c>
      <c r="P35" s="119"/>
      <c r="Q35" s="30" t="s">
        <v>209</v>
      </c>
      <c r="R35" s="156">
        <f t="shared" ref="R35:AC35" si="17">R2+R9</f>
        <v>3</v>
      </c>
      <c r="S35" s="156">
        <f t="shared" si="17"/>
        <v>5</v>
      </c>
      <c r="T35" s="156">
        <f t="shared" si="17"/>
        <v>6</v>
      </c>
      <c r="U35" s="156">
        <f t="shared" si="17"/>
        <v>7</v>
      </c>
      <c r="V35" s="156">
        <f t="shared" si="17"/>
        <v>8</v>
      </c>
      <c r="W35" s="156">
        <f t="shared" si="17"/>
        <v>8</v>
      </c>
      <c r="X35" s="156">
        <f t="shared" si="17"/>
        <v>10</v>
      </c>
      <c r="Y35" s="156">
        <f t="shared" si="17"/>
        <v>10</v>
      </c>
      <c r="Z35" s="156">
        <f t="shared" si="17"/>
        <v>11</v>
      </c>
      <c r="AA35" s="156">
        <f t="shared" si="17"/>
        <v>13</v>
      </c>
      <c r="AB35" s="156">
        <f t="shared" si="17"/>
        <v>13</v>
      </c>
      <c r="AC35" s="156">
        <f t="shared" si="17"/>
        <v>14</v>
      </c>
    </row>
    <row r="36">
      <c r="B36" s="12" t="s">
        <v>606</v>
      </c>
      <c r="C36" s="34">
        <v>600.0</v>
      </c>
      <c r="D36" s="34">
        <v>600.0</v>
      </c>
      <c r="E36" s="34">
        <v>600.0</v>
      </c>
      <c r="F36" s="34">
        <v>600.0</v>
      </c>
      <c r="G36" s="34">
        <v>600.0</v>
      </c>
      <c r="H36" s="34">
        <v>600.0</v>
      </c>
      <c r="I36" s="34">
        <v>600.0</v>
      </c>
      <c r="J36" s="34">
        <v>600.0</v>
      </c>
      <c r="K36" s="34">
        <v>600.0</v>
      </c>
      <c r="L36" s="34">
        <v>600.0</v>
      </c>
      <c r="M36" s="34">
        <v>600.0</v>
      </c>
      <c r="N36" s="34">
        <v>600.0</v>
      </c>
      <c r="O36" s="37">
        <f t="shared" si="8"/>
        <v>7200</v>
      </c>
      <c r="P36" s="119"/>
      <c r="Q36" s="30" t="s">
        <v>590</v>
      </c>
      <c r="R36" s="156">
        <f t="shared" ref="R36:AC36" si="18">R4+R6+R8</f>
        <v>0</v>
      </c>
      <c r="S36" s="156">
        <f t="shared" si="18"/>
        <v>3</v>
      </c>
      <c r="T36" s="156">
        <f t="shared" si="18"/>
        <v>4</v>
      </c>
      <c r="U36" s="156">
        <f t="shared" si="18"/>
        <v>6</v>
      </c>
      <c r="V36" s="156">
        <f t="shared" si="18"/>
        <v>7</v>
      </c>
      <c r="W36" s="156">
        <f t="shared" si="18"/>
        <v>7</v>
      </c>
      <c r="X36" s="156">
        <f t="shared" si="18"/>
        <v>8</v>
      </c>
      <c r="Y36" s="156">
        <f t="shared" si="18"/>
        <v>9</v>
      </c>
      <c r="Z36" s="156">
        <f t="shared" si="18"/>
        <v>10</v>
      </c>
      <c r="AA36" s="156">
        <f t="shared" si="18"/>
        <v>11</v>
      </c>
      <c r="AB36" s="156">
        <f t="shared" si="18"/>
        <v>13</v>
      </c>
      <c r="AC36" s="156">
        <f t="shared" si="18"/>
        <v>13</v>
      </c>
    </row>
    <row r="37">
      <c r="B37" s="12" t="s">
        <v>607</v>
      </c>
      <c r="C37" s="55"/>
      <c r="D37" s="55"/>
      <c r="E37" s="55"/>
      <c r="F37" s="34">
        <f>50*130</f>
        <v>6500</v>
      </c>
      <c r="G37" s="55"/>
      <c r="H37" s="55"/>
      <c r="I37" s="34">
        <v>5000.0</v>
      </c>
      <c r="J37" s="34">
        <v>1500.0</v>
      </c>
      <c r="K37" s="55"/>
      <c r="L37" s="34">
        <v>2500.0</v>
      </c>
      <c r="M37" s="55"/>
      <c r="N37" s="55"/>
      <c r="O37" s="37">
        <f t="shared" si="8"/>
        <v>15500</v>
      </c>
      <c r="P37" s="119"/>
      <c r="Q37" s="30" t="s">
        <v>591</v>
      </c>
      <c r="R37" s="156">
        <f t="shared" ref="R37:AC37" si="19">R3+R5+R7</f>
        <v>0</v>
      </c>
      <c r="S37" s="156">
        <f t="shared" si="19"/>
        <v>1</v>
      </c>
      <c r="T37" s="156">
        <f t="shared" si="19"/>
        <v>1</v>
      </c>
      <c r="U37" s="156">
        <f t="shared" si="19"/>
        <v>6</v>
      </c>
      <c r="V37" s="156">
        <f t="shared" si="19"/>
        <v>6</v>
      </c>
      <c r="W37" s="156">
        <f t="shared" si="19"/>
        <v>7</v>
      </c>
      <c r="X37" s="156">
        <f t="shared" si="19"/>
        <v>8</v>
      </c>
      <c r="Y37" s="156">
        <f t="shared" si="19"/>
        <v>10</v>
      </c>
      <c r="Z37" s="156">
        <f t="shared" si="19"/>
        <v>10</v>
      </c>
      <c r="AA37" s="156">
        <f t="shared" si="19"/>
        <v>12</v>
      </c>
      <c r="AB37" s="156">
        <f t="shared" si="19"/>
        <v>13</v>
      </c>
      <c r="AC37" s="156">
        <f t="shared" si="19"/>
        <v>14</v>
      </c>
    </row>
    <row r="38">
      <c r="B38" s="12" t="s">
        <v>608</v>
      </c>
      <c r="C38" s="34">
        <v>1600.0</v>
      </c>
      <c r="D38" s="34">
        <v>1600.0</v>
      </c>
      <c r="E38" s="34">
        <v>1600.0</v>
      </c>
      <c r="F38" s="34">
        <v>1600.0</v>
      </c>
      <c r="G38" s="34">
        <v>1600.0</v>
      </c>
      <c r="H38" s="34">
        <v>1600.0</v>
      </c>
      <c r="I38" s="34">
        <v>1600.0</v>
      </c>
      <c r="J38" s="34">
        <v>1600.0</v>
      </c>
      <c r="K38" s="34">
        <v>1600.0</v>
      </c>
      <c r="L38" s="34">
        <v>1600.0</v>
      </c>
      <c r="M38" s="34">
        <v>1600.0</v>
      </c>
      <c r="N38" s="34">
        <v>600.0</v>
      </c>
      <c r="O38" s="37">
        <f t="shared" si="8"/>
        <v>18200</v>
      </c>
      <c r="P38" s="119"/>
      <c r="Q38" s="30" t="s">
        <v>291</v>
      </c>
      <c r="R38" s="156">
        <f t="shared" ref="R38:AC38" si="20">R10</f>
        <v>2</v>
      </c>
      <c r="S38" s="156">
        <f t="shared" si="20"/>
        <v>2</v>
      </c>
      <c r="T38" s="156">
        <f t="shared" si="20"/>
        <v>3</v>
      </c>
      <c r="U38" s="156">
        <f t="shared" si="20"/>
        <v>4</v>
      </c>
      <c r="V38" s="156">
        <f t="shared" si="20"/>
        <v>5</v>
      </c>
      <c r="W38" s="156">
        <f t="shared" si="20"/>
        <v>5</v>
      </c>
      <c r="X38" s="156">
        <f t="shared" si="20"/>
        <v>5</v>
      </c>
      <c r="Y38" s="156">
        <f t="shared" si="20"/>
        <v>6</v>
      </c>
      <c r="Z38" s="156">
        <f t="shared" si="20"/>
        <v>6</v>
      </c>
      <c r="AA38" s="156">
        <f t="shared" si="20"/>
        <v>7</v>
      </c>
      <c r="AB38" s="156">
        <f t="shared" si="20"/>
        <v>7</v>
      </c>
      <c r="AC38" s="156">
        <f t="shared" si="20"/>
        <v>7</v>
      </c>
    </row>
    <row r="39">
      <c r="B39" s="158" t="s">
        <v>93</v>
      </c>
      <c r="C39" s="135">
        <f t="shared" ref="C39:N39" si="21">sum(C25:C38)</f>
        <v>27100</v>
      </c>
      <c r="D39" s="135">
        <f t="shared" si="21"/>
        <v>8100</v>
      </c>
      <c r="E39" s="135">
        <f t="shared" si="21"/>
        <v>14100</v>
      </c>
      <c r="F39" s="135">
        <f t="shared" si="21"/>
        <v>17100</v>
      </c>
      <c r="G39" s="135">
        <f t="shared" si="21"/>
        <v>11100</v>
      </c>
      <c r="H39" s="135">
        <f t="shared" si="21"/>
        <v>12100</v>
      </c>
      <c r="I39" s="135">
        <f t="shared" si="21"/>
        <v>16100</v>
      </c>
      <c r="J39" s="135">
        <f t="shared" si="21"/>
        <v>12100</v>
      </c>
      <c r="K39" s="135">
        <f t="shared" si="21"/>
        <v>12600</v>
      </c>
      <c r="L39" s="135">
        <f t="shared" si="21"/>
        <v>13100</v>
      </c>
      <c r="M39" s="135">
        <f t="shared" si="21"/>
        <v>11100</v>
      </c>
      <c r="N39" s="135">
        <f t="shared" si="21"/>
        <v>25400</v>
      </c>
      <c r="O39" s="135">
        <f t="shared" si="8"/>
        <v>180000</v>
      </c>
      <c r="P39" s="119"/>
      <c r="Q39" s="30" t="s">
        <v>594</v>
      </c>
      <c r="R39" s="156">
        <f t="shared" ref="R39:AC39" si="22">R11</f>
        <v>0</v>
      </c>
      <c r="S39" s="156">
        <f t="shared" si="22"/>
        <v>1</v>
      </c>
      <c r="T39" s="156">
        <f t="shared" si="22"/>
        <v>1</v>
      </c>
      <c r="U39" s="156">
        <f t="shared" si="22"/>
        <v>1</v>
      </c>
      <c r="V39" s="156">
        <f t="shared" si="22"/>
        <v>2</v>
      </c>
      <c r="W39" s="156">
        <f t="shared" si="22"/>
        <v>2</v>
      </c>
      <c r="X39" s="156">
        <f t="shared" si="22"/>
        <v>3</v>
      </c>
      <c r="Y39" s="156">
        <f t="shared" si="22"/>
        <v>3</v>
      </c>
      <c r="Z39" s="156">
        <f t="shared" si="22"/>
        <v>3</v>
      </c>
      <c r="AA39" s="156">
        <f t="shared" si="22"/>
        <v>3</v>
      </c>
      <c r="AB39" s="156">
        <f t="shared" si="22"/>
        <v>3</v>
      </c>
      <c r="AC39" s="156">
        <f t="shared" si="22"/>
        <v>4</v>
      </c>
    </row>
    <row r="40">
      <c r="P40" s="119"/>
      <c r="Q40" s="30" t="s">
        <v>313</v>
      </c>
      <c r="R40" s="156">
        <f t="shared" ref="R40:AC40" si="23">R12</f>
        <v>0</v>
      </c>
      <c r="S40" s="156">
        <f t="shared" si="23"/>
        <v>0</v>
      </c>
      <c r="T40" s="156">
        <f t="shared" si="23"/>
        <v>0</v>
      </c>
      <c r="U40" s="156">
        <f t="shared" si="23"/>
        <v>1</v>
      </c>
      <c r="V40" s="156">
        <f t="shared" si="23"/>
        <v>1</v>
      </c>
      <c r="W40" s="156">
        <f t="shared" si="23"/>
        <v>1</v>
      </c>
      <c r="X40" s="156">
        <f t="shared" si="23"/>
        <v>2</v>
      </c>
      <c r="Y40" s="156">
        <f t="shared" si="23"/>
        <v>2</v>
      </c>
      <c r="Z40" s="156">
        <f t="shared" si="23"/>
        <v>2</v>
      </c>
      <c r="AA40" s="156">
        <f t="shared" si="23"/>
        <v>2</v>
      </c>
      <c r="AB40" s="156">
        <f t="shared" si="23"/>
        <v>2</v>
      </c>
      <c r="AC40" s="156">
        <f t="shared" si="23"/>
        <v>2</v>
      </c>
    </row>
    <row r="41">
      <c r="P41" s="119"/>
      <c r="Q41" s="30" t="s">
        <v>21</v>
      </c>
      <c r="R41" s="156">
        <f t="shared" ref="R41:AC41" si="24">R14</f>
        <v>0</v>
      </c>
      <c r="S41" s="156">
        <f t="shared" si="24"/>
        <v>1</v>
      </c>
      <c r="T41" s="156">
        <f t="shared" si="24"/>
        <v>1</v>
      </c>
      <c r="U41" s="156">
        <f t="shared" si="24"/>
        <v>2</v>
      </c>
      <c r="V41" s="156">
        <f t="shared" si="24"/>
        <v>2</v>
      </c>
      <c r="W41" s="156">
        <f t="shared" si="24"/>
        <v>2</v>
      </c>
      <c r="X41" s="156">
        <f t="shared" si="24"/>
        <v>2</v>
      </c>
      <c r="Y41" s="156">
        <f t="shared" si="24"/>
        <v>2</v>
      </c>
      <c r="Z41" s="156">
        <f t="shared" si="24"/>
        <v>2</v>
      </c>
      <c r="AA41" s="156">
        <f t="shared" si="24"/>
        <v>2</v>
      </c>
      <c r="AB41" s="156">
        <f t="shared" si="24"/>
        <v>2</v>
      </c>
      <c r="AC41" s="156">
        <f t="shared" si="24"/>
        <v>2</v>
      </c>
    </row>
    <row r="42">
      <c r="B42" s="1" t="s">
        <v>602</v>
      </c>
      <c r="C42" s="11" t="s">
        <v>609</v>
      </c>
      <c r="D42" s="11" t="s">
        <v>610</v>
      </c>
      <c r="P42" s="119"/>
      <c r="Q42" s="30" t="s">
        <v>598</v>
      </c>
      <c r="R42" s="156">
        <f t="shared" ref="R42:AC42" si="25">R13</f>
        <v>1</v>
      </c>
      <c r="S42" s="156">
        <f t="shared" si="25"/>
        <v>1</v>
      </c>
      <c r="T42" s="156">
        <f t="shared" si="25"/>
        <v>3</v>
      </c>
      <c r="U42" s="156">
        <f t="shared" si="25"/>
        <v>3</v>
      </c>
      <c r="V42" s="156">
        <f t="shared" si="25"/>
        <v>3</v>
      </c>
      <c r="W42" s="156">
        <f t="shared" si="25"/>
        <v>3</v>
      </c>
      <c r="X42" s="156">
        <f t="shared" si="25"/>
        <v>3</v>
      </c>
      <c r="Y42" s="156">
        <f t="shared" si="25"/>
        <v>4</v>
      </c>
      <c r="Z42" s="156">
        <f t="shared" si="25"/>
        <v>5</v>
      </c>
      <c r="AA42" s="156">
        <f t="shared" si="25"/>
        <v>6</v>
      </c>
      <c r="AB42" s="156">
        <f t="shared" si="25"/>
        <v>6</v>
      </c>
      <c r="AC42" s="156">
        <f t="shared" si="25"/>
        <v>7</v>
      </c>
    </row>
    <row r="43">
      <c r="B43" s="2" t="s">
        <v>611</v>
      </c>
      <c r="C43" s="120">
        <v>60.0</v>
      </c>
      <c r="D43" s="32" t="s">
        <v>612</v>
      </c>
      <c r="P43" s="119"/>
      <c r="Q43" s="30" t="s">
        <v>600</v>
      </c>
      <c r="R43" s="156">
        <f t="shared" ref="R43:AC43" si="26">R15</f>
        <v>0</v>
      </c>
      <c r="S43" s="156">
        <f t="shared" si="26"/>
        <v>0</v>
      </c>
      <c r="T43" s="156">
        <f t="shared" si="26"/>
        <v>0</v>
      </c>
      <c r="U43" s="156">
        <f t="shared" si="26"/>
        <v>0</v>
      </c>
      <c r="V43" s="156">
        <f t="shared" si="26"/>
        <v>0</v>
      </c>
      <c r="W43" s="156">
        <f t="shared" si="26"/>
        <v>0</v>
      </c>
      <c r="X43" s="156">
        <f t="shared" si="26"/>
        <v>0</v>
      </c>
      <c r="Y43" s="156">
        <f t="shared" si="26"/>
        <v>0</v>
      </c>
      <c r="Z43" s="156">
        <f t="shared" si="26"/>
        <v>0</v>
      </c>
      <c r="AA43" s="156">
        <f t="shared" si="26"/>
        <v>0</v>
      </c>
      <c r="AB43" s="156">
        <f t="shared" si="26"/>
        <v>0</v>
      </c>
      <c r="AC43" s="156">
        <f t="shared" si="26"/>
        <v>0</v>
      </c>
    </row>
    <row r="44">
      <c r="B44" s="2" t="s">
        <v>613</v>
      </c>
      <c r="C44" s="120">
        <v>50.0</v>
      </c>
      <c r="D44" s="32" t="s">
        <v>612</v>
      </c>
      <c r="P44" s="119"/>
      <c r="Q44" s="30" t="s">
        <v>431</v>
      </c>
      <c r="R44" s="156">
        <f t="shared" ref="R44:AC44" si="27">R16</f>
        <v>1</v>
      </c>
      <c r="S44" s="156">
        <f t="shared" si="27"/>
        <v>1</v>
      </c>
      <c r="T44" s="156">
        <f t="shared" si="27"/>
        <v>1</v>
      </c>
      <c r="U44" s="156">
        <f t="shared" si="27"/>
        <v>3</v>
      </c>
      <c r="V44" s="156">
        <f t="shared" si="27"/>
        <v>3</v>
      </c>
      <c r="W44" s="156">
        <f t="shared" si="27"/>
        <v>3</v>
      </c>
      <c r="X44" s="156">
        <f t="shared" si="27"/>
        <v>3</v>
      </c>
      <c r="Y44" s="156">
        <f t="shared" si="27"/>
        <v>3</v>
      </c>
      <c r="Z44" s="156">
        <f t="shared" si="27"/>
        <v>3</v>
      </c>
      <c r="AA44" s="156">
        <f t="shared" si="27"/>
        <v>3</v>
      </c>
      <c r="AB44" s="156">
        <f t="shared" si="27"/>
        <v>3</v>
      </c>
      <c r="AC44" s="156">
        <f t="shared" si="27"/>
        <v>3</v>
      </c>
    </row>
    <row r="45">
      <c r="B45" s="2" t="s">
        <v>614</v>
      </c>
      <c r="C45" s="120">
        <v>70.0</v>
      </c>
      <c r="D45" s="32" t="s">
        <v>612</v>
      </c>
      <c r="P45" s="119"/>
      <c r="Q45" s="30" t="s">
        <v>157</v>
      </c>
      <c r="R45" s="156">
        <f t="shared" ref="R45:AC45" si="28">R17+R18</f>
        <v>0</v>
      </c>
      <c r="S45" s="156">
        <f t="shared" si="28"/>
        <v>0</v>
      </c>
      <c r="T45" s="156">
        <f t="shared" si="28"/>
        <v>0</v>
      </c>
      <c r="U45" s="156">
        <f t="shared" si="28"/>
        <v>0</v>
      </c>
      <c r="V45" s="156">
        <f t="shared" si="28"/>
        <v>0</v>
      </c>
      <c r="W45" s="156">
        <f t="shared" si="28"/>
        <v>1</v>
      </c>
      <c r="X45" s="156">
        <f t="shared" si="28"/>
        <v>1</v>
      </c>
      <c r="Y45" s="156">
        <f t="shared" si="28"/>
        <v>1</v>
      </c>
      <c r="Z45" s="156">
        <f t="shared" si="28"/>
        <v>1</v>
      </c>
      <c r="AA45" s="156">
        <f t="shared" si="28"/>
        <v>1</v>
      </c>
      <c r="AB45" s="156">
        <f t="shared" si="28"/>
        <v>1</v>
      </c>
      <c r="AC45" s="156">
        <f t="shared" si="28"/>
        <v>1</v>
      </c>
    </row>
    <row r="46">
      <c r="B46" s="2" t="s">
        <v>615</v>
      </c>
      <c r="C46" s="32" t="s">
        <v>616</v>
      </c>
      <c r="D46" s="32" t="s">
        <v>616</v>
      </c>
    </row>
    <row r="47">
      <c r="B47" s="2" t="s">
        <v>617</v>
      </c>
      <c r="C47" s="32" t="s">
        <v>616</v>
      </c>
      <c r="D47" s="32" t="s">
        <v>616</v>
      </c>
    </row>
    <row r="49">
      <c r="B49" s="1" t="s">
        <v>618</v>
      </c>
    </row>
    <row r="50">
      <c r="B50" s="2" t="s">
        <v>619</v>
      </c>
      <c r="D50" s="2" t="s">
        <v>620</v>
      </c>
    </row>
    <row r="51">
      <c r="B51" s="2" t="s">
        <v>621</v>
      </c>
      <c r="D51" s="2" t="s">
        <v>622</v>
      </c>
    </row>
    <row r="52">
      <c r="B52" s="2" t="s">
        <v>603</v>
      </c>
      <c r="D52" s="2" t="s">
        <v>623</v>
      </c>
    </row>
    <row r="53">
      <c r="B53" s="2" t="s">
        <v>624</v>
      </c>
      <c r="D53" s="2" t="s">
        <v>625</v>
      </c>
    </row>
    <row r="54">
      <c r="B54" s="2" t="s">
        <v>626</v>
      </c>
      <c r="D54" s="2" t="s">
        <v>627</v>
      </c>
    </row>
    <row r="55">
      <c r="B55" s="2" t="s">
        <v>628</v>
      </c>
    </row>
    <row r="56">
      <c r="B56" s="2" t="s">
        <v>629</v>
      </c>
      <c r="D56" s="2" t="s">
        <v>630</v>
      </c>
      <c r="F56" s="2" t="s">
        <v>631</v>
      </c>
      <c r="G56" s="2" t="s">
        <v>632</v>
      </c>
    </row>
    <row r="57">
      <c r="B57" s="2" t="s">
        <v>633</v>
      </c>
    </row>
    <row r="58">
      <c r="B58" s="2" t="s">
        <v>634</v>
      </c>
    </row>
    <row r="59">
      <c r="B59" s="2" t="s">
        <v>635</v>
      </c>
    </row>
    <row r="60">
      <c r="B60" s="2" t="s">
        <v>636</v>
      </c>
    </row>
    <row r="61">
      <c r="B61" s="2" t="s">
        <v>637</v>
      </c>
    </row>
    <row r="62">
      <c r="B62" s="2" t="s">
        <v>638</v>
      </c>
    </row>
    <row r="63">
      <c r="B63" s="2" t="s">
        <v>614</v>
      </c>
    </row>
    <row r="64">
      <c r="B64" s="2" t="s">
        <v>639</v>
      </c>
    </row>
    <row r="65">
      <c r="B65" s="2" t="s">
        <v>640</v>
      </c>
    </row>
    <row r="66">
      <c r="B66" s="2" t="s">
        <v>641</v>
      </c>
    </row>
    <row r="67">
      <c r="B67" s="2" t="s">
        <v>642</v>
      </c>
    </row>
    <row r="68">
      <c r="B68" s="2" t="s">
        <v>643</v>
      </c>
    </row>
    <row r="69">
      <c r="B69" s="2" t="s">
        <v>644</v>
      </c>
    </row>
    <row r="70">
      <c r="B70" s="2" t="s">
        <v>645</v>
      </c>
    </row>
    <row r="72">
      <c r="B72" s="2" t="s">
        <v>646</v>
      </c>
    </row>
    <row r="74">
      <c r="B74" s="2" t="s">
        <v>647</v>
      </c>
    </row>
    <row r="76">
      <c r="B76" s="2" t="s">
        <v>648</v>
      </c>
    </row>
    <row r="89">
      <c r="B89" s="1"/>
      <c r="C89" s="1"/>
    </row>
    <row r="90">
      <c r="B90" s="159"/>
    </row>
    <row r="91">
      <c r="C91" s="32"/>
    </row>
  </sheetData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13"/>
    <col customWidth="1" min="3" max="3" width="14.2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5"/>
      <c r="B2" s="14"/>
      <c r="C2" s="14"/>
      <c r="D2" s="14"/>
      <c r="E2" s="14"/>
      <c r="F2" s="76" t="s">
        <v>81</v>
      </c>
      <c r="G2" s="76" t="s">
        <v>505</v>
      </c>
      <c r="H2" s="76" t="s">
        <v>649</v>
      </c>
      <c r="I2" s="76" t="s">
        <v>506</v>
      </c>
      <c r="J2" s="76" t="s">
        <v>507</v>
      </c>
      <c r="K2" s="76" t="s">
        <v>508</v>
      </c>
      <c r="L2" s="76" t="s">
        <v>509</v>
      </c>
      <c r="M2" s="76" t="s">
        <v>510</v>
      </c>
      <c r="N2" s="76" t="s">
        <v>511</v>
      </c>
      <c r="O2" s="76" t="s">
        <v>512</v>
      </c>
      <c r="P2" s="76" t="s">
        <v>513</v>
      </c>
      <c r="Q2" s="76" t="s">
        <v>514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"/>
      <c r="B3" s="160" t="s">
        <v>447</v>
      </c>
      <c r="C3" s="23" t="s">
        <v>650</v>
      </c>
      <c r="D3" s="161" t="s">
        <v>651</v>
      </c>
      <c r="E3" s="161">
        <f>Revenue!C5</f>
        <v>1035000</v>
      </c>
      <c r="F3" s="23">
        <f t="shared" ref="F3:Q3" si="1">E3+F12+F10</f>
        <v>1152200</v>
      </c>
      <c r="G3" s="23">
        <f t="shared" si="1"/>
        <v>1260024</v>
      </c>
      <c r="H3" s="23">
        <f t="shared" si="1"/>
        <v>1359222.08</v>
      </c>
      <c r="I3" s="23">
        <f t="shared" si="1"/>
        <v>1470484.314</v>
      </c>
      <c r="J3" s="23">
        <f t="shared" si="1"/>
        <v>1572845.569</v>
      </c>
      <c r="K3" s="23">
        <f t="shared" si="1"/>
        <v>1667017.923</v>
      </c>
      <c r="L3" s="23">
        <f t="shared" si="1"/>
        <v>1773656.489</v>
      </c>
      <c r="M3" s="23">
        <f t="shared" si="1"/>
        <v>1871763.97</v>
      </c>
      <c r="N3" s="23">
        <f t="shared" si="1"/>
        <v>1962022.852</v>
      </c>
      <c r="O3" s="23">
        <f t="shared" si="1"/>
        <v>2065061.024</v>
      </c>
      <c r="P3" s="23">
        <f t="shared" si="1"/>
        <v>2159856.142</v>
      </c>
      <c r="Q3" s="23">
        <f t="shared" si="1"/>
        <v>2247067.651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5"/>
      <c r="B4" s="162" t="s">
        <v>652</v>
      </c>
      <c r="C4" s="163">
        <f t="shared" ref="C4:C9" si="3">E4/D4</f>
        <v>2698.863636</v>
      </c>
      <c r="D4" s="164">
        <f>Revenue!C9</f>
        <v>176</v>
      </c>
      <c r="E4" s="165">
        <f>Revenue!C7</f>
        <v>475000</v>
      </c>
      <c r="F4" s="163">
        <f t="shared" ref="F4:Q4" si="2">E4*(1-$F86)+F13</f>
        <v>511000</v>
      </c>
      <c r="G4" s="163">
        <f t="shared" si="2"/>
        <v>544120</v>
      </c>
      <c r="H4" s="163">
        <f t="shared" si="2"/>
        <v>574590.4</v>
      </c>
      <c r="I4" s="163">
        <f t="shared" si="2"/>
        <v>610023.168</v>
      </c>
      <c r="J4" s="163">
        <f t="shared" si="2"/>
        <v>642621.3146</v>
      </c>
      <c r="K4" s="163">
        <f t="shared" si="2"/>
        <v>672611.6094</v>
      </c>
      <c r="L4" s="163">
        <f t="shared" si="2"/>
        <v>707602.6806</v>
      </c>
      <c r="M4" s="163">
        <f t="shared" si="2"/>
        <v>739794.4662</v>
      </c>
      <c r="N4" s="163">
        <f t="shared" si="2"/>
        <v>769410.9089</v>
      </c>
      <c r="O4" s="163">
        <f t="shared" si="2"/>
        <v>804058.0362</v>
      </c>
      <c r="P4" s="163">
        <f t="shared" si="2"/>
        <v>835933.3933</v>
      </c>
      <c r="Q4" s="163">
        <f t="shared" si="2"/>
        <v>865258.7218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5"/>
      <c r="B5" s="162" t="s">
        <v>653</v>
      </c>
      <c r="C5" s="163">
        <f t="shared" si="3"/>
        <v>4207.54717</v>
      </c>
      <c r="D5" s="164">
        <f>Revenue!C14</f>
        <v>53</v>
      </c>
      <c r="E5" s="165">
        <f>Revenue!C12</f>
        <v>223000</v>
      </c>
      <c r="F5" s="163">
        <f t="shared" ref="F5:Q5" si="4">E5*(1-$F87)+F14</f>
        <v>267894.2624</v>
      </c>
      <c r="G5" s="163">
        <f t="shared" si="4"/>
        <v>309196.9838</v>
      </c>
      <c r="H5" s="163">
        <f t="shared" si="4"/>
        <v>347195.4874</v>
      </c>
      <c r="I5" s="163">
        <f t="shared" si="4"/>
        <v>388427.5371</v>
      </c>
      <c r="J5" s="163">
        <f t="shared" si="4"/>
        <v>426361.0227</v>
      </c>
      <c r="K5" s="163">
        <f t="shared" si="4"/>
        <v>461259.8295</v>
      </c>
      <c r="L5" s="163">
        <f t="shared" si="4"/>
        <v>499640.158</v>
      </c>
      <c r="M5" s="163">
        <f t="shared" si="4"/>
        <v>534950.0602</v>
      </c>
      <c r="N5" s="163">
        <f t="shared" si="4"/>
        <v>567435.1702</v>
      </c>
      <c r="O5" s="163">
        <f t="shared" si="4"/>
        <v>603594.8977</v>
      </c>
      <c r="P5" s="163">
        <f t="shared" si="4"/>
        <v>636861.847</v>
      </c>
      <c r="Q5" s="163">
        <f t="shared" si="4"/>
        <v>667467.4403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5"/>
      <c r="B6" s="162" t="s">
        <v>654</v>
      </c>
      <c r="C6" s="163">
        <f t="shared" si="3"/>
        <v>2117.647059</v>
      </c>
      <c r="D6" s="164">
        <f>Revenue!C19</f>
        <v>85</v>
      </c>
      <c r="E6" s="165">
        <f>Revenue!C17</f>
        <v>180000</v>
      </c>
      <c r="F6" s="163">
        <f t="shared" ref="F6:Q6" si="5">E6*(1-$F88)+F15</f>
        <v>204659.337</v>
      </c>
      <c r="G6" s="163">
        <f t="shared" si="5"/>
        <v>227345.9271</v>
      </c>
      <c r="H6" s="163">
        <f t="shared" si="5"/>
        <v>248217.59</v>
      </c>
      <c r="I6" s="163">
        <f t="shared" si="5"/>
        <v>271325.4535</v>
      </c>
      <c r="J6" s="163">
        <f t="shared" si="5"/>
        <v>292584.688</v>
      </c>
      <c r="K6" s="163">
        <f t="shared" si="5"/>
        <v>312143.1837</v>
      </c>
      <c r="L6" s="163">
        <f t="shared" si="5"/>
        <v>334042.9335</v>
      </c>
      <c r="M6" s="163">
        <f t="shared" si="5"/>
        <v>354190.7033</v>
      </c>
      <c r="N6" s="163">
        <f t="shared" si="5"/>
        <v>372726.6514</v>
      </c>
      <c r="O6" s="163">
        <f t="shared" si="5"/>
        <v>393685.6575</v>
      </c>
      <c r="P6" s="163">
        <f t="shared" si="5"/>
        <v>412967.943</v>
      </c>
      <c r="Q6" s="163">
        <f t="shared" si="5"/>
        <v>430707.6458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5"/>
      <c r="B7" s="162" t="s">
        <v>655</v>
      </c>
      <c r="C7" s="163">
        <f t="shared" si="3"/>
        <v>7272.727273</v>
      </c>
      <c r="D7" s="164">
        <f>Revenue!C24</f>
        <v>11</v>
      </c>
      <c r="E7" s="165">
        <f>Revenue!C22</f>
        <v>80000</v>
      </c>
      <c r="F7" s="163">
        <f t="shared" ref="F7:Q7" si="6">E7*(1-$F89)+F16</f>
        <v>82631.06059</v>
      </c>
      <c r="G7" s="163">
        <f t="shared" si="6"/>
        <v>85051.63633</v>
      </c>
      <c r="H7" s="163">
        <f t="shared" si="6"/>
        <v>87278.56601</v>
      </c>
      <c r="I7" s="163">
        <f t="shared" si="6"/>
        <v>90230.44738</v>
      </c>
      <c r="J7" s="163">
        <f t="shared" si="6"/>
        <v>92946.17823</v>
      </c>
      <c r="K7" s="163">
        <f t="shared" si="6"/>
        <v>95444.65062</v>
      </c>
      <c r="L7" s="163">
        <f t="shared" si="6"/>
        <v>98646.35128</v>
      </c>
      <c r="M7" s="163">
        <f t="shared" si="6"/>
        <v>101591.9159</v>
      </c>
      <c r="N7" s="163">
        <f t="shared" si="6"/>
        <v>104301.8353</v>
      </c>
      <c r="O7" s="163">
        <f t="shared" si="6"/>
        <v>107698.0673</v>
      </c>
      <c r="P7" s="163">
        <f t="shared" si="6"/>
        <v>110822.6006</v>
      </c>
      <c r="Q7" s="163">
        <f t="shared" si="6"/>
        <v>113697.1714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"/>
      <c r="B8" s="162" t="s">
        <v>656</v>
      </c>
      <c r="C8" s="163">
        <f t="shared" si="3"/>
        <v>1250</v>
      </c>
      <c r="D8" s="166">
        <v>8.0</v>
      </c>
      <c r="E8" s="167">
        <v>10000.0</v>
      </c>
      <c r="F8" s="163">
        <f t="shared" ref="F8:Q8" si="7">E8*(1-$F90)+F17</f>
        <v>17145.05503</v>
      </c>
      <c r="G8" s="163">
        <f t="shared" si="7"/>
        <v>23718.50565</v>
      </c>
      <c r="H8" s="163">
        <f t="shared" si="7"/>
        <v>29766.08023</v>
      </c>
      <c r="I8" s="163">
        <f t="shared" si="7"/>
        <v>36124.35434</v>
      </c>
      <c r="J8" s="163">
        <f t="shared" si="7"/>
        <v>41973.96652</v>
      </c>
      <c r="K8" s="163">
        <f t="shared" si="7"/>
        <v>47355.60973</v>
      </c>
      <c r="L8" s="163">
        <f t="shared" si="7"/>
        <v>53101.22699</v>
      </c>
      <c r="M8" s="163">
        <f t="shared" si="7"/>
        <v>58387.19486</v>
      </c>
      <c r="N8" s="163">
        <f t="shared" si="7"/>
        <v>63250.2853</v>
      </c>
      <c r="O8" s="163">
        <f t="shared" si="7"/>
        <v>68518.83401</v>
      </c>
      <c r="P8" s="163">
        <f t="shared" si="7"/>
        <v>73365.89883</v>
      </c>
      <c r="Q8" s="163">
        <f t="shared" si="7"/>
        <v>77825.19846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168" t="s">
        <v>657</v>
      </c>
      <c r="C9" s="163">
        <f t="shared" si="3"/>
        <v>1634.146341</v>
      </c>
      <c r="D9" s="166">
        <v>41.0</v>
      </c>
      <c r="E9" s="165">
        <f>E3-SUM(E4:E8)</f>
        <v>67000</v>
      </c>
      <c r="F9" s="163">
        <f t="shared" ref="F9:Q9" si="8">E9*(1-$F91)+F18</f>
        <v>68870.28496</v>
      </c>
      <c r="G9" s="163">
        <f t="shared" si="8"/>
        <v>70590.94713</v>
      </c>
      <c r="H9" s="163">
        <f t="shared" si="8"/>
        <v>72173.95632</v>
      </c>
      <c r="I9" s="163">
        <f t="shared" si="8"/>
        <v>74353.35328</v>
      </c>
      <c r="J9" s="163">
        <f t="shared" si="8"/>
        <v>76358.39848</v>
      </c>
      <c r="K9" s="163">
        <f t="shared" si="8"/>
        <v>78203.04006</v>
      </c>
      <c r="L9" s="163">
        <f t="shared" si="8"/>
        <v>80623.13881</v>
      </c>
      <c r="M9" s="163">
        <f t="shared" si="8"/>
        <v>82849.62966</v>
      </c>
      <c r="N9" s="163">
        <f t="shared" si="8"/>
        <v>84898.00125</v>
      </c>
      <c r="O9" s="163">
        <f t="shared" si="8"/>
        <v>87505.5316</v>
      </c>
      <c r="P9" s="163">
        <f t="shared" si="8"/>
        <v>89904.45952</v>
      </c>
      <c r="Q9" s="163">
        <f t="shared" si="8"/>
        <v>92111.47322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160" t="s">
        <v>449</v>
      </c>
      <c r="C10" s="14"/>
      <c r="D10" s="14"/>
      <c r="E10" s="14"/>
      <c r="F10" s="23">
        <f t="shared" ref="F10:Q10" si="9">-E3*$C$83</f>
        <v>-82800</v>
      </c>
      <c r="G10" s="23">
        <f t="shared" si="9"/>
        <v>-92176</v>
      </c>
      <c r="H10" s="23">
        <f t="shared" si="9"/>
        <v>-100801.92</v>
      </c>
      <c r="I10" s="23">
        <f t="shared" si="9"/>
        <v>-108737.7664</v>
      </c>
      <c r="J10" s="23">
        <f t="shared" si="9"/>
        <v>-117638.7451</v>
      </c>
      <c r="K10" s="23">
        <f t="shared" si="9"/>
        <v>-125827.6455</v>
      </c>
      <c r="L10" s="23">
        <f t="shared" si="9"/>
        <v>-133361.4338</v>
      </c>
      <c r="M10" s="23">
        <f t="shared" si="9"/>
        <v>-141892.5191</v>
      </c>
      <c r="N10" s="23">
        <f t="shared" si="9"/>
        <v>-149741.1176</v>
      </c>
      <c r="O10" s="23">
        <f t="shared" si="9"/>
        <v>-156961.8282</v>
      </c>
      <c r="P10" s="23">
        <f t="shared" si="9"/>
        <v>-165204.8819</v>
      </c>
      <c r="Q10" s="23">
        <f t="shared" si="9"/>
        <v>-172788.4914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169" t="s">
        <v>658</v>
      </c>
      <c r="C12" s="14"/>
      <c r="D12" s="14"/>
      <c r="E12" s="14"/>
      <c r="F12" s="170">
        <v>200000.0</v>
      </c>
      <c r="G12" s="170">
        <v>200000.0</v>
      </c>
      <c r="H12" s="170">
        <v>200000.0</v>
      </c>
      <c r="I12" s="170">
        <v>220000.0</v>
      </c>
      <c r="J12" s="170">
        <v>220000.0</v>
      </c>
      <c r="K12" s="170">
        <v>220000.0</v>
      </c>
      <c r="L12" s="170">
        <v>240000.0</v>
      </c>
      <c r="M12" s="170">
        <v>240000.0</v>
      </c>
      <c r="N12" s="170">
        <v>240000.0</v>
      </c>
      <c r="O12" s="170">
        <v>260000.0</v>
      </c>
      <c r="P12" s="170">
        <v>260000.0</v>
      </c>
      <c r="Q12" s="170">
        <v>260000.0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162" t="s">
        <v>652</v>
      </c>
      <c r="C13" s="5"/>
      <c r="D13" s="5"/>
      <c r="E13" s="171">
        <f t="shared" ref="E13:E18" si="11">F13/C86</f>
        <v>24.66666667</v>
      </c>
      <c r="F13" s="163">
        <f t="shared" ref="F13:Q13" si="10">F$12*$D$86</f>
        <v>74000</v>
      </c>
      <c r="G13" s="163">
        <f t="shared" si="10"/>
        <v>74000</v>
      </c>
      <c r="H13" s="163">
        <f t="shared" si="10"/>
        <v>74000</v>
      </c>
      <c r="I13" s="163">
        <f t="shared" si="10"/>
        <v>81400</v>
      </c>
      <c r="J13" s="163">
        <f t="shared" si="10"/>
        <v>81400</v>
      </c>
      <c r="K13" s="163">
        <f t="shared" si="10"/>
        <v>81400</v>
      </c>
      <c r="L13" s="163">
        <f t="shared" si="10"/>
        <v>88800</v>
      </c>
      <c r="M13" s="163">
        <f t="shared" si="10"/>
        <v>88800</v>
      </c>
      <c r="N13" s="163">
        <f t="shared" si="10"/>
        <v>88800</v>
      </c>
      <c r="O13" s="163">
        <f t="shared" si="10"/>
        <v>96200</v>
      </c>
      <c r="P13" s="163">
        <f t="shared" si="10"/>
        <v>96200</v>
      </c>
      <c r="Q13" s="20">
        <f t="shared" si="10"/>
        <v>96200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162" t="s">
        <v>653</v>
      </c>
      <c r="C14" s="5"/>
      <c r="D14" s="5"/>
      <c r="E14" s="171">
        <f t="shared" si="11"/>
        <v>20.91142079</v>
      </c>
      <c r="F14" s="163">
        <f t="shared" ref="F14:Q14" si="12">F$12*$D$87</f>
        <v>62734.26238</v>
      </c>
      <c r="G14" s="163">
        <f t="shared" si="12"/>
        <v>62734.26238</v>
      </c>
      <c r="H14" s="163">
        <f t="shared" si="12"/>
        <v>62734.26238</v>
      </c>
      <c r="I14" s="163">
        <f t="shared" si="12"/>
        <v>69007.68861</v>
      </c>
      <c r="J14" s="163">
        <f t="shared" si="12"/>
        <v>69007.68861</v>
      </c>
      <c r="K14" s="163">
        <f t="shared" si="12"/>
        <v>69007.68861</v>
      </c>
      <c r="L14" s="163">
        <f t="shared" si="12"/>
        <v>75281.11485</v>
      </c>
      <c r="M14" s="163">
        <f t="shared" si="12"/>
        <v>75281.11485</v>
      </c>
      <c r="N14" s="163">
        <f t="shared" si="12"/>
        <v>75281.11485</v>
      </c>
      <c r="O14" s="163">
        <f t="shared" si="12"/>
        <v>81554.54109</v>
      </c>
      <c r="P14" s="163">
        <f t="shared" si="12"/>
        <v>81554.54109</v>
      </c>
      <c r="Q14" s="20">
        <f t="shared" si="12"/>
        <v>81554.54109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162" t="s">
        <v>654</v>
      </c>
      <c r="C15" s="5"/>
      <c r="D15" s="5"/>
      <c r="E15" s="171">
        <f t="shared" si="11"/>
        <v>15.62373482</v>
      </c>
      <c r="F15" s="163">
        <f t="shared" ref="F15:Q15" si="13">F$12*$D$88</f>
        <v>39059.33704</v>
      </c>
      <c r="G15" s="163">
        <f t="shared" si="13"/>
        <v>39059.33704</v>
      </c>
      <c r="H15" s="163">
        <f t="shared" si="13"/>
        <v>39059.33704</v>
      </c>
      <c r="I15" s="163">
        <f t="shared" si="13"/>
        <v>42965.27075</v>
      </c>
      <c r="J15" s="163">
        <f t="shared" si="13"/>
        <v>42965.27075</v>
      </c>
      <c r="K15" s="163">
        <f t="shared" si="13"/>
        <v>42965.27075</v>
      </c>
      <c r="L15" s="163">
        <f t="shared" si="13"/>
        <v>46871.20445</v>
      </c>
      <c r="M15" s="163">
        <f t="shared" si="13"/>
        <v>46871.20445</v>
      </c>
      <c r="N15" s="163">
        <f t="shared" si="13"/>
        <v>46871.20445</v>
      </c>
      <c r="O15" s="163">
        <f t="shared" si="13"/>
        <v>50777.13816</v>
      </c>
      <c r="P15" s="163">
        <f t="shared" si="13"/>
        <v>50777.13816</v>
      </c>
      <c r="Q15" s="20">
        <f t="shared" si="13"/>
        <v>50777.13816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162" t="s">
        <v>655</v>
      </c>
      <c r="C16" s="5"/>
      <c r="D16" s="5"/>
      <c r="E16" s="171">
        <f t="shared" si="11"/>
        <v>1.806212118</v>
      </c>
      <c r="F16" s="163">
        <f t="shared" ref="F16:Q16" si="14">F$12*$D$89</f>
        <v>9031.060588</v>
      </c>
      <c r="G16" s="163">
        <f t="shared" si="14"/>
        <v>9031.060588</v>
      </c>
      <c r="H16" s="163">
        <f t="shared" si="14"/>
        <v>9031.060588</v>
      </c>
      <c r="I16" s="163">
        <f t="shared" si="14"/>
        <v>9934.166647</v>
      </c>
      <c r="J16" s="163">
        <f t="shared" si="14"/>
        <v>9934.166647</v>
      </c>
      <c r="K16" s="163">
        <f t="shared" si="14"/>
        <v>9934.166647</v>
      </c>
      <c r="L16" s="163">
        <f t="shared" si="14"/>
        <v>10837.27271</v>
      </c>
      <c r="M16" s="163">
        <f t="shared" si="14"/>
        <v>10837.27271</v>
      </c>
      <c r="N16" s="163">
        <f t="shared" si="14"/>
        <v>10837.27271</v>
      </c>
      <c r="O16" s="163">
        <f t="shared" si="14"/>
        <v>11740.37876</v>
      </c>
      <c r="P16" s="163">
        <f t="shared" si="14"/>
        <v>11740.37876</v>
      </c>
      <c r="Q16" s="20">
        <f t="shared" si="14"/>
        <v>11740.37876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162" t="s">
        <v>656</v>
      </c>
      <c r="C17" s="5"/>
      <c r="D17" s="5"/>
      <c r="E17" s="171">
        <f t="shared" si="11"/>
        <v>5.296703352</v>
      </c>
      <c r="F17" s="163">
        <f t="shared" ref="F17:Q17" si="15">F$12*$D$90</f>
        <v>7945.055027</v>
      </c>
      <c r="G17" s="163">
        <f t="shared" si="15"/>
        <v>7945.055027</v>
      </c>
      <c r="H17" s="163">
        <f t="shared" si="15"/>
        <v>7945.055027</v>
      </c>
      <c r="I17" s="163">
        <f t="shared" si="15"/>
        <v>8739.56053</v>
      </c>
      <c r="J17" s="163">
        <f t="shared" si="15"/>
        <v>8739.56053</v>
      </c>
      <c r="K17" s="163">
        <f t="shared" si="15"/>
        <v>8739.56053</v>
      </c>
      <c r="L17" s="163">
        <f t="shared" si="15"/>
        <v>9534.066033</v>
      </c>
      <c r="M17" s="163">
        <f t="shared" si="15"/>
        <v>9534.066033</v>
      </c>
      <c r="N17" s="163">
        <f t="shared" si="15"/>
        <v>9534.066033</v>
      </c>
      <c r="O17" s="163">
        <f t="shared" si="15"/>
        <v>10328.57154</v>
      </c>
      <c r="P17" s="163">
        <f t="shared" si="15"/>
        <v>10328.57154</v>
      </c>
      <c r="Q17" s="20">
        <f t="shared" si="15"/>
        <v>10328.57154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168" t="s">
        <v>659</v>
      </c>
      <c r="C18" s="5"/>
      <c r="D18" s="5"/>
      <c r="E18" s="171">
        <f t="shared" si="11"/>
        <v>4.820189976</v>
      </c>
      <c r="F18" s="163">
        <f t="shared" ref="F18:Q18" si="16">F12-SUM(F13:F17)</f>
        <v>7230.284964</v>
      </c>
      <c r="G18" s="163">
        <f t="shared" si="16"/>
        <v>7230.284964</v>
      </c>
      <c r="H18" s="163">
        <f t="shared" si="16"/>
        <v>7230.284964</v>
      </c>
      <c r="I18" s="163">
        <f t="shared" si="16"/>
        <v>7953.31346</v>
      </c>
      <c r="J18" s="163">
        <f t="shared" si="16"/>
        <v>7953.31346</v>
      </c>
      <c r="K18" s="163">
        <f t="shared" si="16"/>
        <v>7953.31346</v>
      </c>
      <c r="L18" s="163">
        <f t="shared" si="16"/>
        <v>8676.341957</v>
      </c>
      <c r="M18" s="163">
        <f t="shared" si="16"/>
        <v>8676.341957</v>
      </c>
      <c r="N18" s="163">
        <f t="shared" si="16"/>
        <v>8676.341957</v>
      </c>
      <c r="O18" s="163">
        <f t="shared" si="16"/>
        <v>9399.370453</v>
      </c>
      <c r="P18" s="163">
        <f t="shared" si="16"/>
        <v>9399.370453</v>
      </c>
      <c r="Q18" s="20">
        <f t="shared" si="16"/>
        <v>9399.370453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172">
        <f t="shared" ref="G19:Q19" si="17">G20-F20</f>
        <v>39.8957335</v>
      </c>
      <c r="H19" s="172">
        <f t="shared" si="17"/>
        <v>36.70407482</v>
      </c>
      <c r="I19" s="172">
        <f t="shared" si="17"/>
        <v>41.08024161</v>
      </c>
      <c r="J19" s="172">
        <f t="shared" si="17"/>
        <v>37.79382228</v>
      </c>
      <c r="K19" s="172">
        <f t="shared" si="17"/>
        <v>34.7703165</v>
      </c>
      <c r="L19" s="172">
        <f t="shared" si="17"/>
        <v>39.30118395</v>
      </c>
      <c r="M19" s="172">
        <f t="shared" si="17"/>
        <v>36.15708923</v>
      </c>
      <c r="N19" s="172">
        <f t="shared" si="17"/>
        <v>33.2645221</v>
      </c>
      <c r="O19" s="172">
        <f t="shared" si="17"/>
        <v>37.9158531</v>
      </c>
      <c r="P19" s="172">
        <f t="shared" si="17"/>
        <v>34.88258485</v>
      </c>
      <c r="Q19" s="172">
        <f t="shared" si="17"/>
        <v>32.09197806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173" t="s">
        <v>651</v>
      </c>
      <c r="C20" s="5"/>
      <c r="D20" s="5"/>
      <c r="E20" s="5"/>
      <c r="F20" s="174">
        <f t="shared" ref="F20:Q20" si="18">SUM(F21:F26)</f>
        <v>415.3649277</v>
      </c>
      <c r="G20" s="174">
        <f t="shared" si="18"/>
        <v>455.2606612</v>
      </c>
      <c r="H20" s="174">
        <f t="shared" si="18"/>
        <v>491.964736</v>
      </c>
      <c r="I20" s="174">
        <f t="shared" si="18"/>
        <v>533.0449777</v>
      </c>
      <c r="J20" s="174">
        <f t="shared" si="18"/>
        <v>570.8387999</v>
      </c>
      <c r="K20" s="174">
        <f t="shared" si="18"/>
        <v>605.6091164</v>
      </c>
      <c r="L20" s="174">
        <f t="shared" si="18"/>
        <v>644.9103004</v>
      </c>
      <c r="M20" s="174">
        <f t="shared" si="18"/>
        <v>681.0673896</v>
      </c>
      <c r="N20" s="174">
        <f t="shared" si="18"/>
        <v>714.3319117</v>
      </c>
      <c r="O20" s="174">
        <f t="shared" si="18"/>
        <v>752.2477648</v>
      </c>
      <c r="P20" s="174">
        <f t="shared" si="18"/>
        <v>787.1303497</v>
      </c>
      <c r="Q20" s="174">
        <f t="shared" si="18"/>
        <v>819.2223277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162" t="s">
        <v>652</v>
      </c>
      <c r="C21" s="5"/>
      <c r="D21" s="5"/>
      <c r="E21" s="5"/>
      <c r="F21" s="175">
        <f>$F4/$C86</f>
        <v>170.3333333</v>
      </c>
      <c r="G21" s="175">
        <f t="shared" ref="G21:Q21" si="19">G$4/$C$86</f>
        <v>181.3733333</v>
      </c>
      <c r="H21" s="175">
        <f t="shared" si="19"/>
        <v>191.5301333</v>
      </c>
      <c r="I21" s="175">
        <f t="shared" si="19"/>
        <v>203.341056</v>
      </c>
      <c r="J21" s="175">
        <f t="shared" si="19"/>
        <v>214.2071049</v>
      </c>
      <c r="K21" s="175">
        <f t="shared" si="19"/>
        <v>224.2038698</v>
      </c>
      <c r="L21" s="175">
        <f t="shared" si="19"/>
        <v>235.8675602</v>
      </c>
      <c r="M21" s="175">
        <f t="shared" si="19"/>
        <v>246.5981554</v>
      </c>
      <c r="N21" s="175">
        <f t="shared" si="19"/>
        <v>256.470303</v>
      </c>
      <c r="O21" s="175">
        <f t="shared" si="19"/>
        <v>268.0193454</v>
      </c>
      <c r="P21" s="175">
        <f t="shared" si="19"/>
        <v>278.6444644</v>
      </c>
      <c r="Q21" s="175">
        <f t="shared" si="19"/>
        <v>288.4195739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162" t="s">
        <v>653</v>
      </c>
      <c r="C22" s="5"/>
      <c r="D22" s="5"/>
      <c r="E22" s="5"/>
      <c r="F22" s="175">
        <f t="shared" ref="F22:Q22" si="20">F5/$C87</f>
        <v>89.29808746</v>
      </c>
      <c r="G22" s="175">
        <f t="shared" si="20"/>
        <v>103.0656613</v>
      </c>
      <c r="H22" s="175">
        <f t="shared" si="20"/>
        <v>115.7318291</v>
      </c>
      <c r="I22" s="175">
        <f t="shared" si="20"/>
        <v>129.4758457</v>
      </c>
      <c r="J22" s="175">
        <f t="shared" si="20"/>
        <v>142.1203409</v>
      </c>
      <c r="K22" s="175">
        <f t="shared" si="20"/>
        <v>153.7532765</v>
      </c>
      <c r="L22" s="175">
        <f t="shared" si="20"/>
        <v>166.5467193</v>
      </c>
      <c r="M22" s="175">
        <f t="shared" si="20"/>
        <v>178.3166867</v>
      </c>
      <c r="N22" s="175">
        <f t="shared" si="20"/>
        <v>189.1450567</v>
      </c>
      <c r="O22" s="175">
        <f t="shared" si="20"/>
        <v>201.1982992</v>
      </c>
      <c r="P22" s="175">
        <f t="shared" si="20"/>
        <v>212.2872823</v>
      </c>
      <c r="Q22" s="175">
        <f t="shared" si="20"/>
        <v>222.4891468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162" t="s">
        <v>654</v>
      </c>
      <c r="C23" s="5"/>
      <c r="D23" s="5"/>
      <c r="E23" s="5"/>
      <c r="F23" s="175">
        <f t="shared" ref="F23:Q23" si="21">F6/$C88</f>
        <v>81.86373482</v>
      </c>
      <c r="G23" s="175">
        <f t="shared" si="21"/>
        <v>90.93837085</v>
      </c>
      <c r="H23" s="175">
        <f t="shared" si="21"/>
        <v>99.287036</v>
      </c>
      <c r="I23" s="175">
        <f t="shared" si="21"/>
        <v>108.5301814</v>
      </c>
      <c r="J23" s="175">
        <f t="shared" si="21"/>
        <v>117.0338752</v>
      </c>
      <c r="K23" s="175">
        <f t="shared" si="21"/>
        <v>124.8572735</v>
      </c>
      <c r="L23" s="175">
        <f t="shared" si="21"/>
        <v>133.6171734</v>
      </c>
      <c r="M23" s="175">
        <f t="shared" si="21"/>
        <v>141.6762813</v>
      </c>
      <c r="N23" s="175">
        <f t="shared" si="21"/>
        <v>149.0906606</v>
      </c>
      <c r="O23" s="175">
        <f t="shared" si="21"/>
        <v>157.474263</v>
      </c>
      <c r="P23" s="175">
        <f t="shared" si="21"/>
        <v>165.1871772</v>
      </c>
      <c r="Q23" s="175">
        <f t="shared" si="21"/>
        <v>172.2830583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162" t="s">
        <v>655</v>
      </c>
      <c r="C24" s="5"/>
      <c r="D24" s="5"/>
      <c r="E24" s="5"/>
      <c r="F24" s="175">
        <f t="shared" ref="F24:Q24" si="22">F7/$C89</f>
        <v>16.52621212</v>
      </c>
      <c r="G24" s="175">
        <f t="shared" si="22"/>
        <v>17.01032727</v>
      </c>
      <c r="H24" s="175">
        <f t="shared" si="22"/>
        <v>17.4557132</v>
      </c>
      <c r="I24" s="175">
        <f t="shared" si="22"/>
        <v>18.04608948</v>
      </c>
      <c r="J24" s="175">
        <f t="shared" si="22"/>
        <v>18.58923565</v>
      </c>
      <c r="K24" s="175">
        <f t="shared" si="22"/>
        <v>19.08893012</v>
      </c>
      <c r="L24" s="175">
        <f t="shared" si="22"/>
        <v>19.72927026</v>
      </c>
      <c r="M24" s="175">
        <f t="shared" si="22"/>
        <v>20.31838318</v>
      </c>
      <c r="N24" s="175">
        <f t="shared" si="22"/>
        <v>20.86036706</v>
      </c>
      <c r="O24" s="175">
        <f t="shared" si="22"/>
        <v>21.53961345</v>
      </c>
      <c r="P24" s="175">
        <f t="shared" si="22"/>
        <v>22.16452013</v>
      </c>
      <c r="Q24" s="175">
        <f t="shared" si="22"/>
        <v>22.73943427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162" t="s">
        <v>656</v>
      </c>
      <c r="C25" s="5"/>
      <c r="D25" s="5"/>
      <c r="E25" s="5"/>
      <c r="F25" s="175">
        <f t="shared" ref="F25:Q25" si="23">F8/$C90</f>
        <v>11.43003668</v>
      </c>
      <c r="G25" s="175">
        <f t="shared" si="23"/>
        <v>15.8123371</v>
      </c>
      <c r="H25" s="175">
        <f t="shared" si="23"/>
        <v>19.84405349</v>
      </c>
      <c r="I25" s="175">
        <f t="shared" si="23"/>
        <v>24.08290289</v>
      </c>
      <c r="J25" s="175">
        <f t="shared" si="23"/>
        <v>27.98264435</v>
      </c>
      <c r="K25" s="175">
        <f t="shared" si="23"/>
        <v>31.57040649</v>
      </c>
      <c r="L25" s="175">
        <f t="shared" si="23"/>
        <v>35.40081799</v>
      </c>
      <c r="M25" s="175">
        <f t="shared" si="23"/>
        <v>38.92479657</v>
      </c>
      <c r="N25" s="175">
        <f t="shared" si="23"/>
        <v>42.16685687</v>
      </c>
      <c r="O25" s="175">
        <f t="shared" si="23"/>
        <v>45.67922268</v>
      </c>
      <c r="P25" s="175">
        <f t="shared" si="23"/>
        <v>48.91059922</v>
      </c>
      <c r="Q25" s="175">
        <f t="shared" si="23"/>
        <v>51.88346564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168" t="s">
        <v>659</v>
      </c>
      <c r="C26" s="5"/>
      <c r="D26" s="5"/>
      <c r="E26" s="5"/>
      <c r="F26" s="175">
        <f t="shared" ref="F26:Q26" si="24">F9/$C91</f>
        <v>45.91352331</v>
      </c>
      <c r="G26" s="175">
        <f t="shared" si="24"/>
        <v>47.06063142</v>
      </c>
      <c r="H26" s="175">
        <f t="shared" si="24"/>
        <v>48.11597088</v>
      </c>
      <c r="I26" s="175">
        <f t="shared" si="24"/>
        <v>49.56890219</v>
      </c>
      <c r="J26" s="175">
        <f t="shared" si="24"/>
        <v>50.90559898</v>
      </c>
      <c r="K26" s="175">
        <f t="shared" si="24"/>
        <v>52.13536004</v>
      </c>
      <c r="L26" s="175">
        <f t="shared" si="24"/>
        <v>53.74875921</v>
      </c>
      <c r="M26" s="175">
        <f t="shared" si="24"/>
        <v>55.23308644</v>
      </c>
      <c r="N26" s="175">
        <f t="shared" si="24"/>
        <v>56.5986675</v>
      </c>
      <c r="O26" s="175">
        <f t="shared" si="24"/>
        <v>58.33702107</v>
      </c>
      <c r="P26" s="175">
        <f t="shared" si="24"/>
        <v>59.93630635</v>
      </c>
      <c r="Q26" s="175">
        <f t="shared" si="24"/>
        <v>61.40764881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173" t="s">
        <v>660</v>
      </c>
      <c r="C28" s="5"/>
      <c r="D28" s="5"/>
      <c r="E28" s="5"/>
      <c r="F28" s="174">
        <f t="shared" ref="F28:Q28" si="25">SUM(F29:F40)</f>
        <v>64.6482405</v>
      </c>
      <c r="G28" s="174">
        <f t="shared" si="25"/>
        <v>70.59550658</v>
      </c>
      <c r="H28" s="174">
        <f t="shared" si="25"/>
        <v>75.24365805</v>
      </c>
      <c r="I28" s="174">
        <f t="shared" si="25"/>
        <v>81.25153659</v>
      </c>
      <c r="J28" s="174">
        <f t="shared" si="25"/>
        <v>85.95545152</v>
      </c>
      <c r="K28" s="174">
        <f t="shared" si="25"/>
        <v>92.62305326</v>
      </c>
      <c r="L28" s="174">
        <f t="shared" si="25"/>
        <v>97.41215939</v>
      </c>
      <c r="M28" s="174">
        <f t="shared" si="25"/>
        <v>103.0748037</v>
      </c>
      <c r="N28" s="174">
        <f t="shared" si="25"/>
        <v>107.4611031</v>
      </c>
      <c r="O28" s="174">
        <f t="shared" si="25"/>
        <v>113.2280778</v>
      </c>
      <c r="P28" s="174">
        <f t="shared" si="25"/>
        <v>118.7936945</v>
      </c>
      <c r="Q28" s="174">
        <f t="shared" si="25"/>
        <v>123.0907285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162" t="s">
        <v>652</v>
      </c>
      <c r="C29" s="5"/>
      <c r="D29" s="5"/>
      <c r="E29" s="5"/>
      <c r="F29" s="175">
        <f t="shared" ref="F29:Q29" si="26">ROUNDUP(F21/$E$86,0)</f>
        <v>18</v>
      </c>
      <c r="G29" s="175">
        <f t="shared" si="26"/>
        <v>19</v>
      </c>
      <c r="H29" s="175">
        <f t="shared" si="26"/>
        <v>20</v>
      </c>
      <c r="I29" s="175">
        <f t="shared" si="26"/>
        <v>21</v>
      </c>
      <c r="J29" s="175">
        <f t="shared" si="26"/>
        <v>22</v>
      </c>
      <c r="K29" s="175">
        <f t="shared" si="26"/>
        <v>23</v>
      </c>
      <c r="L29" s="175">
        <f t="shared" si="26"/>
        <v>24</v>
      </c>
      <c r="M29" s="175">
        <f t="shared" si="26"/>
        <v>25</v>
      </c>
      <c r="N29" s="175">
        <f t="shared" si="26"/>
        <v>26</v>
      </c>
      <c r="O29" s="175">
        <f t="shared" si="26"/>
        <v>27</v>
      </c>
      <c r="P29" s="175">
        <f t="shared" si="26"/>
        <v>28</v>
      </c>
      <c r="Q29" s="175">
        <f t="shared" si="26"/>
        <v>29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176" t="s">
        <v>661</v>
      </c>
      <c r="C30" s="5"/>
      <c r="D30" s="5"/>
      <c r="E30" s="5"/>
      <c r="F30" s="175">
        <f t="shared" ref="F30:Q30" si="27">F21/$E$97</f>
        <v>6.551282051</v>
      </c>
      <c r="G30" s="175">
        <f t="shared" si="27"/>
        <v>6.975897436</v>
      </c>
      <c r="H30" s="175">
        <f t="shared" si="27"/>
        <v>7.36654359</v>
      </c>
      <c r="I30" s="175">
        <f t="shared" si="27"/>
        <v>7.820809846</v>
      </c>
      <c r="J30" s="175">
        <f t="shared" si="27"/>
        <v>8.238734802</v>
      </c>
      <c r="K30" s="175">
        <f t="shared" si="27"/>
        <v>8.623225761</v>
      </c>
      <c r="L30" s="175">
        <f t="shared" si="27"/>
        <v>9.071829239</v>
      </c>
      <c r="M30" s="175">
        <f t="shared" si="27"/>
        <v>9.484544438</v>
      </c>
      <c r="N30" s="175">
        <f t="shared" si="27"/>
        <v>9.864242422</v>
      </c>
      <c r="O30" s="175">
        <f t="shared" si="27"/>
        <v>10.30843636</v>
      </c>
      <c r="P30" s="175">
        <f t="shared" si="27"/>
        <v>10.71709479</v>
      </c>
      <c r="Q30" s="175">
        <f t="shared" si="27"/>
        <v>11.09306054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162" t="s">
        <v>653</v>
      </c>
      <c r="C31" s="5"/>
      <c r="D31" s="5"/>
      <c r="E31" s="5"/>
      <c r="F31" s="175">
        <f t="shared" ref="F31:Q31" si="28">ROUNDUP(F22/$E$87,0)</f>
        <v>6</v>
      </c>
      <c r="G31" s="175">
        <f t="shared" si="28"/>
        <v>7</v>
      </c>
      <c r="H31" s="175">
        <f t="shared" si="28"/>
        <v>8</v>
      </c>
      <c r="I31" s="175">
        <f t="shared" si="28"/>
        <v>9</v>
      </c>
      <c r="J31" s="175">
        <f t="shared" si="28"/>
        <v>10</v>
      </c>
      <c r="K31" s="175">
        <f t="shared" si="28"/>
        <v>11</v>
      </c>
      <c r="L31" s="175">
        <f t="shared" si="28"/>
        <v>12</v>
      </c>
      <c r="M31" s="175">
        <f t="shared" si="28"/>
        <v>12</v>
      </c>
      <c r="N31" s="175">
        <f t="shared" si="28"/>
        <v>13</v>
      </c>
      <c r="O31" s="175">
        <f t="shared" si="28"/>
        <v>14</v>
      </c>
      <c r="P31" s="175">
        <f t="shared" si="28"/>
        <v>15</v>
      </c>
      <c r="Q31" s="175">
        <f t="shared" si="28"/>
        <v>15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176" t="s">
        <v>662</v>
      </c>
      <c r="C32" s="5"/>
      <c r="D32" s="5"/>
      <c r="E32" s="5"/>
      <c r="F32" s="175">
        <f t="shared" ref="F32:Q32" si="29">F22/$E$96</f>
        <v>4.464904373</v>
      </c>
      <c r="G32" s="175">
        <f t="shared" si="29"/>
        <v>5.153283063</v>
      </c>
      <c r="H32" s="175">
        <f t="shared" si="29"/>
        <v>5.786591457</v>
      </c>
      <c r="I32" s="175">
        <f t="shared" si="29"/>
        <v>6.473792284</v>
      </c>
      <c r="J32" s="175">
        <f t="shared" si="29"/>
        <v>7.106017045</v>
      </c>
      <c r="K32" s="175">
        <f t="shared" si="29"/>
        <v>7.687663825</v>
      </c>
      <c r="L32" s="175">
        <f t="shared" si="29"/>
        <v>8.327335967</v>
      </c>
      <c r="M32" s="175">
        <f t="shared" si="29"/>
        <v>8.915834337</v>
      </c>
      <c r="N32" s="175">
        <f t="shared" si="29"/>
        <v>9.457252837</v>
      </c>
      <c r="O32" s="175">
        <f t="shared" si="29"/>
        <v>10.05991496</v>
      </c>
      <c r="P32" s="175">
        <f t="shared" si="29"/>
        <v>10.61436412</v>
      </c>
      <c r="Q32" s="175">
        <f t="shared" si="29"/>
        <v>11.12445734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162" t="s">
        <v>654</v>
      </c>
      <c r="C33" s="5"/>
      <c r="D33" s="5"/>
      <c r="E33" s="5"/>
      <c r="F33" s="175">
        <f t="shared" ref="F33:Q33" si="30">ROUNDUP(F23/$E$88,0)</f>
        <v>5</v>
      </c>
      <c r="G33" s="175">
        <f t="shared" si="30"/>
        <v>5</v>
      </c>
      <c r="H33" s="175">
        <f t="shared" si="30"/>
        <v>5</v>
      </c>
      <c r="I33" s="175">
        <f t="shared" si="30"/>
        <v>6</v>
      </c>
      <c r="J33" s="175">
        <f t="shared" si="30"/>
        <v>6</v>
      </c>
      <c r="K33" s="175">
        <f t="shared" si="30"/>
        <v>7</v>
      </c>
      <c r="L33" s="175">
        <f t="shared" si="30"/>
        <v>7</v>
      </c>
      <c r="M33" s="175">
        <f t="shared" si="30"/>
        <v>8</v>
      </c>
      <c r="N33" s="175">
        <f t="shared" si="30"/>
        <v>8</v>
      </c>
      <c r="O33" s="175">
        <f t="shared" si="30"/>
        <v>8</v>
      </c>
      <c r="P33" s="175">
        <f t="shared" si="30"/>
        <v>9</v>
      </c>
      <c r="Q33" s="175">
        <f t="shared" si="30"/>
        <v>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176" t="s">
        <v>663</v>
      </c>
      <c r="C34" s="5"/>
      <c r="D34" s="5"/>
      <c r="E34" s="5"/>
      <c r="F34" s="175">
        <f t="shared" ref="F34:Q34" si="31">F23/$E$95</f>
        <v>5.457582321</v>
      </c>
      <c r="G34" s="175">
        <f t="shared" si="31"/>
        <v>6.062558057</v>
      </c>
      <c r="H34" s="175">
        <f t="shared" si="31"/>
        <v>6.619135733</v>
      </c>
      <c r="I34" s="175">
        <f t="shared" si="31"/>
        <v>7.235345428</v>
      </c>
      <c r="J34" s="175">
        <f t="shared" si="31"/>
        <v>7.802258347</v>
      </c>
      <c r="K34" s="175">
        <f t="shared" si="31"/>
        <v>8.323818233</v>
      </c>
      <c r="L34" s="175">
        <f t="shared" si="31"/>
        <v>8.907811559</v>
      </c>
      <c r="M34" s="175">
        <f t="shared" si="31"/>
        <v>9.44508542</v>
      </c>
      <c r="N34" s="175">
        <f t="shared" si="31"/>
        <v>9.939377372</v>
      </c>
      <c r="O34" s="175">
        <f t="shared" si="31"/>
        <v>10.4982842</v>
      </c>
      <c r="P34" s="175">
        <f t="shared" si="31"/>
        <v>11.01247848</v>
      </c>
      <c r="Q34" s="175">
        <f t="shared" si="31"/>
        <v>11.48553722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162" t="s">
        <v>655</v>
      </c>
      <c r="C35" s="5"/>
      <c r="D35" s="5"/>
      <c r="E35" s="5"/>
      <c r="F35" s="175">
        <f t="shared" ref="F35:Q35" si="32">ROUNDUP(F24/$E$89,0)</f>
        <v>2</v>
      </c>
      <c r="G35" s="175">
        <f t="shared" si="32"/>
        <v>2</v>
      </c>
      <c r="H35" s="175">
        <f t="shared" si="32"/>
        <v>2</v>
      </c>
      <c r="I35" s="175">
        <f t="shared" si="32"/>
        <v>2</v>
      </c>
      <c r="J35" s="175">
        <f t="shared" si="32"/>
        <v>2</v>
      </c>
      <c r="K35" s="175">
        <f t="shared" si="32"/>
        <v>2</v>
      </c>
      <c r="L35" s="175">
        <f t="shared" si="32"/>
        <v>2</v>
      </c>
      <c r="M35" s="175">
        <f t="shared" si="32"/>
        <v>3</v>
      </c>
      <c r="N35" s="175">
        <f t="shared" si="32"/>
        <v>3</v>
      </c>
      <c r="O35" s="175">
        <f t="shared" si="32"/>
        <v>3</v>
      </c>
      <c r="P35" s="175">
        <f t="shared" si="32"/>
        <v>3</v>
      </c>
      <c r="Q35" s="175">
        <f t="shared" si="32"/>
        <v>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162" t="s">
        <v>656</v>
      </c>
      <c r="C36" s="5"/>
      <c r="D36" s="5"/>
      <c r="E36" s="5"/>
      <c r="F36" s="175">
        <f t="shared" ref="F36:Q36" si="33">ROUNDUP(F25/$E$90,0)</f>
        <v>1</v>
      </c>
      <c r="G36" s="175">
        <f t="shared" si="33"/>
        <v>2</v>
      </c>
      <c r="H36" s="175">
        <f t="shared" si="33"/>
        <v>2</v>
      </c>
      <c r="I36" s="175">
        <f t="shared" si="33"/>
        <v>2</v>
      </c>
      <c r="J36" s="175">
        <f t="shared" si="33"/>
        <v>2</v>
      </c>
      <c r="K36" s="175">
        <f t="shared" si="33"/>
        <v>3</v>
      </c>
      <c r="L36" s="175">
        <f t="shared" si="33"/>
        <v>3</v>
      </c>
      <c r="M36" s="175">
        <f t="shared" si="33"/>
        <v>3</v>
      </c>
      <c r="N36" s="175">
        <f t="shared" si="33"/>
        <v>3</v>
      </c>
      <c r="O36" s="175">
        <f t="shared" si="33"/>
        <v>4</v>
      </c>
      <c r="P36" s="175">
        <f t="shared" si="33"/>
        <v>4</v>
      </c>
      <c r="Q36" s="175">
        <f t="shared" si="33"/>
        <v>4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176" t="s">
        <v>664</v>
      </c>
      <c r="C37" s="5"/>
      <c r="D37" s="5"/>
      <c r="E37" s="5"/>
      <c r="F37" s="175">
        <f t="shared" ref="F37:Q37" si="34">F25/$E$98</f>
        <v>0.2787813826</v>
      </c>
      <c r="G37" s="175">
        <f t="shared" si="34"/>
        <v>0.3856667586</v>
      </c>
      <c r="H37" s="175">
        <f t="shared" si="34"/>
        <v>0.4840013045</v>
      </c>
      <c r="I37" s="175">
        <f t="shared" si="34"/>
        <v>0.5873878754</v>
      </c>
      <c r="J37" s="175">
        <f t="shared" si="34"/>
        <v>0.6825035207</v>
      </c>
      <c r="K37" s="175">
        <f t="shared" si="34"/>
        <v>0.7700099143</v>
      </c>
      <c r="L37" s="175">
        <f t="shared" si="34"/>
        <v>0.8634345851</v>
      </c>
      <c r="M37" s="175">
        <f t="shared" si="34"/>
        <v>0.9493852823</v>
      </c>
      <c r="N37" s="175">
        <f t="shared" si="34"/>
        <v>1.028459924</v>
      </c>
      <c r="O37" s="175">
        <f t="shared" si="34"/>
        <v>1.114127382</v>
      </c>
      <c r="P37" s="175">
        <f t="shared" si="34"/>
        <v>1.192941444</v>
      </c>
      <c r="Q37" s="175">
        <f t="shared" si="34"/>
        <v>1.265450381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168" t="s">
        <v>659</v>
      </c>
      <c r="C38" s="5"/>
      <c r="D38" s="5"/>
      <c r="E38" s="5"/>
      <c r="F38" s="175">
        <f t="shared" ref="F38:Q38" si="35">ROUNDUP(F26/$E$91,0)</f>
        <v>4</v>
      </c>
      <c r="G38" s="175">
        <f t="shared" si="35"/>
        <v>4</v>
      </c>
      <c r="H38" s="175">
        <f t="shared" si="35"/>
        <v>4</v>
      </c>
      <c r="I38" s="175">
        <f t="shared" si="35"/>
        <v>4</v>
      </c>
      <c r="J38" s="175">
        <f t="shared" si="35"/>
        <v>4</v>
      </c>
      <c r="K38" s="175">
        <f t="shared" si="35"/>
        <v>4</v>
      </c>
      <c r="L38" s="175">
        <f t="shared" si="35"/>
        <v>4</v>
      </c>
      <c r="M38" s="175">
        <f t="shared" si="35"/>
        <v>4</v>
      </c>
      <c r="N38" s="175">
        <f t="shared" si="35"/>
        <v>4</v>
      </c>
      <c r="O38" s="175">
        <f t="shared" si="35"/>
        <v>4</v>
      </c>
      <c r="P38" s="175">
        <f t="shared" si="35"/>
        <v>4</v>
      </c>
      <c r="Q38" s="175">
        <f t="shared" si="35"/>
        <v>5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177" t="s">
        <v>665</v>
      </c>
      <c r="C39" s="5"/>
      <c r="D39" s="5"/>
      <c r="E39" s="5"/>
      <c r="F39" s="175">
        <f t="shared" ref="F39:Q39" si="36">F20/60</f>
        <v>6.922748795</v>
      </c>
      <c r="G39" s="175">
        <f t="shared" si="36"/>
        <v>7.587677687</v>
      </c>
      <c r="H39" s="175">
        <f t="shared" si="36"/>
        <v>8.199412267</v>
      </c>
      <c r="I39" s="175">
        <f t="shared" si="36"/>
        <v>8.884082961</v>
      </c>
      <c r="J39" s="175">
        <f t="shared" si="36"/>
        <v>9.513979999</v>
      </c>
      <c r="K39" s="175">
        <f t="shared" si="36"/>
        <v>10.09348527</v>
      </c>
      <c r="L39" s="175">
        <f t="shared" si="36"/>
        <v>10.74850501</v>
      </c>
      <c r="M39" s="175">
        <f t="shared" si="36"/>
        <v>11.35112316</v>
      </c>
      <c r="N39" s="175">
        <f t="shared" si="36"/>
        <v>11.90553186</v>
      </c>
      <c r="O39" s="175">
        <f t="shared" si="36"/>
        <v>12.53746275</v>
      </c>
      <c r="P39" s="175">
        <f t="shared" si="36"/>
        <v>13.11883916</v>
      </c>
      <c r="Q39" s="175">
        <f t="shared" si="36"/>
        <v>13.65370546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4" t="s">
        <v>666</v>
      </c>
      <c r="C40" s="5"/>
      <c r="D40" s="5"/>
      <c r="E40" s="5"/>
      <c r="F40" s="175">
        <f t="shared" ref="F40:Q40" si="37">SUM(F29:F39)/12</f>
        <v>4.972941577</v>
      </c>
      <c r="G40" s="175">
        <f t="shared" si="37"/>
        <v>5.430423583</v>
      </c>
      <c r="H40" s="175">
        <f t="shared" si="37"/>
        <v>5.787973696</v>
      </c>
      <c r="I40" s="175">
        <f t="shared" si="37"/>
        <v>6.2501182</v>
      </c>
      <c r="J40" s="175">
        <f t="shared" si="37"/>
        <v>6.611957809</v>
      </c>
      <c r="K40" s="175">
        <f t="shared" si="37"/>
        <v>7.124850251</v>
      </c>
      <c r="L40" s="175">
        <f t="shared" si="37"/>
        <v>7.49324303</v>
      </c>
      <c r="M40" s="175">
        <f t="shared" si="37"/>
        <v>7.928831053</v>
      </c>
      <c r="N40" s="175">
        <f t="shared" si="37"/>
        <v>8.266238701</v>
      </c>
      <c r="O40" s="175">
        <f t="shared" si="37"/>
        <v>8.709852138</v>
      </c>
      <c r="P40" s="175">
        <f t="shared" si="37"/>
        <v>9.137976499</v>
      </c>
      <c r="Q40" s="175">
        <f t="shared" si="37"/>
        <v>9.468517578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21" t="s">
        <v>667</v>
      </c>
      <c r="C42" s="5"/>
      <c r="D42" s="5"/>
      <c r="E42" s="5"/>
      <c r="F42" s="23">
        <f t="shared" ref="F42:Q42" si="38">SUM(F43:F54)</f>
        <v>275337.4651</v>
      </c>
      <c r="G42" s="23">
        <f t="shared" si="38"/>
        <v>297566.4662</v>
      </c>
      <c r="H42" s="23">
        <f t="shared" si="38"/>
        <v>316510.4805</v>
      </c>
      <c r="I42" s="23">
        <f t="shared" si="38"/>
        <v>339967.9069</v>
      </c>
      <c r="J42" s="23">
        <f t="shared" si="38"/>
        <v>359122.0725</v>
      </c>
      <c r="K42" s="23">
        <f t="shared" si="38"/>
        <v>384023.9048</v>
      </c>
      <c r="L42" s="23">
        <f t="shared" si="38"/>
        <v>403469.1904</v>
      </c>
      <c r="M42" s="23">
        <f t="shared" si="38"/>
        <v>424472.1865</v>
      </c>
      <c r="N42" s="23">
        <f t="shared" si="38"/>
        <v>442748.2762</v>
      </c>
      <c r="O42" s="23">
        <f t="shared" si="38"/>
        <v>464591.2119</v>
      </c>
      <c r="P42" s="23">
        <f t="shared" si="38"/>
        <v>486846.7128</v>
      </c>
      <c r="Q42" s="23">
        <f t="shared" si="38"/>
        <v>505895.1069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162" t="s">
        <v>652</v>
      </c>
      <c r="C43" s="5"/>
      <c r="D43" s="5"/>
      <c r="E43" s="5"/>
      <c r="F43" s="163">
        <f t="shared" ref="F43:Q43" si="39">F29*$G86</f>
        <v>81000</v>
      </c>
      <c r="G43" s="163">
        <f t="shared" si="39"/>
        <v>85500</v>
      </c>
      <c r="H43" s="163">
        <f t="shared" si="39"/>
        <v>90000</v>
      </c>
      <c r="I43" s="163">
        <f t="shared" si="39"/>
        <v>94500</v>
      </c>
      <c r="J43" s="163">
        <f t="shared" si="39"/>
        <v>99000</v>
      </c>
      <c r="K43" s="163">
        <f t="shared" si="39"/>
        <v>103500</v>
      </c>
      <c r="L43" s="163">
        <f t="shared" si="39"/>
        <v>108000</v>
      </c>
      <c r="M43" s="163">
        <f t="shared" si="39"/>
        <v>112500</v>
      </c>
      <c r="N43" s="163">
        <f t="shared" si="39"/>
        <v>117000</v>
      </c>
      <c r="O43" s="163">
        <f t="shared" si="39"/>
        <v>121500</v>
      </c>
      <c r="P43" s="163">
        <f t="shared" si="39"/>
        <v>126000</v>
      </c>
      <c r="Q43" s="163">
        <f t="shared" si="39"/>
        <v>130500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176" t="s">
        <v>661</v>
      </c>
      <c r="C44" s="5"/>
      <c r="D44" s="5"/>
      <c r="E44" s="5"/>
      <c r="F44" s="163">
        <f t="shared" ref="F44:Q44" si="40">F30*$G$97</f>
        <v>19653.84615</v>
      </c>
      <c r="G44" s="163">
        <f t="shared" si="40"/>
        <v>20927.69231</v>
      </c>
      <c r="H44" s="163">
        <f t="shared" si="40"/>
        <v>22099.63077</v>
      </c>
      <c r="I44" s="163">
        <f t="shared" si="40"/>
        <v>23462.42954</v>
      </c>
      <c r="J44" s="163">
        <f t="shared" si="40"/>
        <v>24716.20441</v>
      </c>
      <c r="K44" s="163">
        <f t="shared" si="40"/>
        <v>25869.67728</v>
      </c>
      <c r="L44" s="163">
        <f t="shared" si="40"/>
        <v>27215.48772</v>
      </c>
      <c r="M44" s="163">
        <f t="shared" si="40"/>
        <v>28453.63332</v>
      </c>
      <c r="N44" s="163">
        <f t="shared" si="40"/>
        <v>29592.72727</v>
      </c>
      <c r="O44" s="163">
        <f t="shared" si="40"/>
        <v>30925.30908</v>
      </c>
      <c r="P44" s="163">
        <f t="shared" si="40"/>
        <v>32151.28436</v>
      </c>
      <c r="Q44" s="163">
        <f t="shared" si="40"/>
        <v>33279.18161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162" t="s">
        <v>653</v>
      </c>
      <c r="C45" s="5"/>
      <c r="D45" s="5"/>
      <c r="E45" s="5"/>
      <c r="F45" s="163">
        <f t="shared" ref="F45:Q45" si="41">F31*$G87</f>
        <v>18000</v>
      </c>
      <c r="G45" s="163">
        <f t="shared" si="41"/>
        <v>21000</v>
      </c>
      <c r="H45" s="163">
        <f t="shared" si="41"/>
        <v>24000</v>
      </c>
      <c r="I45" s="163">
        <f t="shared" si="41"/>
        <v>27000</v>
      </c>
      <c r="J45" s="163">
        <f t="shared" si="41"/>
        <v>30000</v>
      </c>
      <c r="K45" s="163">
        <f t="shared" si="41"/>
        <v>33000</v>
      </c>
      <c r="L45" s="163">
        <f t="shared" si="41"/>
        <v>36000</v>
      </c>
      <c r="M45" s="163">
        <f t="shared" si="41"/>
        <v>36000</v>
      </c>
      <c r="N45" s="163">
        <f t="shared" si="41"/>
        <v>39000</v>
      </c>
      <c r="O45" s="163">
        <f t="shared" si="41"/>
        <v>42000</v>
      </c>
      <c r="P45" s="163">
        <f t="shared" si="41"/>
        <v>45000</v>
      </c>
      <c r="Q45" s="163">
        <f t="shared" si="41"/>
        <v>45000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176" t="s">
        <v>662</v>
      </c>
      <c r="C46" s="5"/>
      <c r="D46" s="5"/>
      <c r="E46" s="5"/>
      <c r="F46" s="163">
        <f t="shared" ref="F46:Q46" si="42">F31*$G$96</f>
        <v>18000</v>
      </c>
      <c r="G46" s="163">
        <f t="shared" si="42"/>
        <v>21000</v>
      </c>
      <c r="H46" s="163">
        <f t="shared" si="42"/>
        <v>24000</v>
      </c>
      <c r="I46" s="163">
        <f t="shared" si="42"/>
        <v>27000</v>
      </c>
      <c r="J46" s="163">
        <f t="shared" si="42"/>
        <v>30000</v>
      </c>
      <c r="K46" s="163">
        <f t="shared" si="42"/>
        <v>33000</v>
      </c>
      <c r="L46" s="163">
        <f t="shared" si="42"/>
        <v>36000</v>
      </c>
      <c r="M46" s="163">
        <f t="shared" si="42"/>
        <v>36000</v>
      </c>
      <c r="N46" s="163">
        <f t="shared" si="42"/>
        <v>39000</v>
      </c>
      <c r="O46" s="163">
        <f t="shared" si="42"/>
        <v>42000</v>
      </c>
      <c r="P46" s="163">
        <f t="shared" si="42"/>
        <v>45000</v>
      </c>
      <c r="Q46" s="163">
        <f t="shared" si="42"/>
        <v>45000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162" t="s">
        <v>654</v>
      </c>
      <c r="C47" s="5"/>
      <c r="D47" s="5"/>
      <c r="E47" s="5"/>
      <c r="F47" s="163">
        <f t="shared" ref="F47:Q47" si="43">F33*$G88</f>
        <v>15000</v>
      </c>
      <c r="G47" s="163">
        <f t="shared" si="43"/>
        <v>15000</v>
      </c>
      <c r="H47" s="163">
        <f t="shared" si="43"/>
        <v>15000</v>
      </c>
      <c r="I47" s="163">
        <f t="shared" si="43"/>
        <v>18000</v>
      </c>
      <c r="J47" s="163">
        <f t="shared" si="43"/>
        <v>18000</v>
      </c>
      <c r="K47" s="163">
        <f t="shared" si="43"/>
        <v>21000</v>
      </c>
      <c r="L47" s="163">
        <f t="shared" si="43"/>
        <v>21000</v>
      </c>
      <c r="M47" s="163">
        <f t="shared" si="43"/>
        <v>24000</v>
      </c>
      <c r="N47" s="163">
        <f t="shared" si="43"/>
        <v>24000</v>
      </c>
      <c r="O47" s="163">
        <f t="shared" si="43"/>
        <v>24000</v>
      </c>
      <c r="P47" s="163">
        <f t="shared" si="43"/>
        <v>27000</v>
      </c>
      <c r="Q47" s="163">
        <f t="shared" si="43"/>
        <v>27000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176" t="s">
        <v>663</v>
      </c>
      <c r="C48" s="5"/>
      <c r="D48" s="5"/>
      <c r="E48" s="5"/>
      <c r="F48" s="163">
        <f t="shared" ref="F48:Q48" si="44">F34*$G$95</f>
        <v>16372.74696</v>
      </c>
      <c r="G48" s="163">
        <f t="shared" si="44"/>
        <v>18187.67417</v>
      </c>
      <c r="H48" s="163">
        <f t="shared" si="44"/>
        <v>19857.4072</v>
      </c>
      <c r="I48" s="163">
        <f t="shared" si="44"/>
        <v>21706.03628</v>
      </c>
      <c r="J48" s="163">
        <f t="shared" si="44"/>
        <v>23406.77504</v>
      </c>
      <c r="K48" s="163">
        <f t="shared" si="44"/>
        <v>24971.4547</v>
      </c>
      <c r="L48" s="163">
        <f t="shared" si="44"/>
        <v>26723.43468</v>
      </c>
      <c r="M48" s="163">
        <f t="shared" si="44"/>
        <v>28335.25626</v>
      </c>
      <c r="N48" s="163">
        <f t="shared" si="44"/>
        <v>29818.13212</v>
      </c>
      <c r="O48" s="163">
        <f t="shared" si="44"/>
        <v>31494.8526</v>
      </c>
      <c r="P48" s="163">
        <f t="shared" si="44"/>
        <v>33037.43544</v>
      </c>
      <c r="Q48" s="163">
        <f t="shared" si="44"/>
        <v>34456.61166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162" t="s">
        <v>655</v>
      </c>
      <c r="C49" s="5"/>
      <c r="D49" s="5"/>
      <c r="E49" s="5"/>
      <c r="F49" s="163">
        <f t="shared" ref="F49:Q49" si="45">F35*$G89</f>
        <v>9000</v>
      </c>
      <c r="G49" s="163">
        <f t="shared" si="45"/>
        <v>9000</v>
      </c>
      <c r="H49" s="163">
        <f t="shared" si="45"/>
        <v>9000</v>
      </c>
      <c r="I49" s="163">
        <f t="shared" si="45"/>
        <v>9000</v>
      </c>
      <c r="J49" s="163">
        <f t="shared" si="45"/>
        <v>9000</v>
      </c>
      <c r="K49" s="163">
        <f t="shared" si="45"/>
        <v>9000</v>
      </c>
      <c r="L49" s="163">
        <f t="shared" si="45"/>
        <v>9000</v>
      </c>
      <c r="M49" s="163">
        <f t="shared" si="45"/>
        <v>13500</v>
      </c>
      <c r="N49" s="163">
        <f t="shared" si="45"/>
        <v>13500</v>
      </c>
      <c r="O49" s="163">
        <f t="shared" si="45"/>
        <v>13500</v>
      </c>
      <c r="P49" s="163">
        <f t="shared" si="45"/>
        <v>13500</v>
      </c>
      <c r="Q49" s="163">
        <f t="shared" si="45"/>
        <v>13500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162" t="s">
        <v>656</v>
      </c>
      <c r="C50" s="5"/>
      <c r="D50" s="5"/>
      <c r="E50" s="5"/>
      <c r="F50" s="163">
        <f t="shared" ref="F50:Q50" si="46">F36*$G90</f>
        <v>2000</v>
      </c>
      <c r="G50" s="163">
        <f t="shared" si="46"/>
        <v>4000</v>
      </c>
      <c r="H50" s="163">
        <f t="shared" si="46"/>
        <v>4000</v>
      </c>
      <c r="I50" s="163">
        <f t="shared" si="46"/>
        <v>4000</v>
      </c>
      <c r="J50" s="163">
        <f t="shared" si="46"/>
        <v>4000</v>
      </c>
      <c r="K50" s="163">
        <f t="shared" si="46"/>
        <v>6000</v>
      </c>
      <c r="L50" s="163">
        <f t="shared" si="46"/>
        <v>6000</v>
      </c>
      <c r="M50" s="163">
        <f t="shared" si="46"/>
        <v>6000</v>
      </c>
      <c r="N50" s="163">
        <f t="shared" si="46"/>
        <v>6000</v>
      </c>
      <c r="O50" s="163">
        <f t="shared" si="46"/>
        <v>8000</v>
      </c>
      <c r="P50" s="163">
        <f t="shared" si="46"/>
        <v>8000</v>
      </c>
      <c r="Q50" s="163">
        <f t="shared" si="46"/>
        <v>8000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176" t="s">
        <v>664</v>
      </c>
      <c r="C51" s="5"/>
      <c r="D51" s="5"/>
      <c r="E51" s="5"/>
      <c r="F51" s="163">
        <f t="shared" ref="F51:Q51" si="47">F37*$G$98</f>
        <v>836.3441477</v>
      </c>
      <c r="G51" s="163">
        <f t="shared" si="47"/>
        <v>1157.000276</v>
      </c>
      <c r="H51" s="163">
        <f t="shared" si="47"/>
        <v>1452.003914</v>
      </c>
      <c r="I51" s="163">
        <f t="shared" si="47"/>
        <v>1762.163626</v>
      </c>
      <c r="J51" s="163">
        <f t="shared" si="47"/>
        <v>2047.510562</v>
      </c>
      <c r="K51" s="163">
        <f t="shared" si="47"/>
        <v>2310.029743</v>
      </c>
      <c r="L51" s="163">
        <f t="shared" si="47"/>
        <v>2590.303755</v>
      </c>
      <c r="M51" s="163">
        <f t="shared" si="47"/>
        <v>2848.155847</v>
      </c>
      <c r="N51" s="163">
        <f t="shared" si="47"/>
        <v>3085.379771</v>
      </c>
      <c r="O51" s="163">
        <f t="shared" si="47"/>
        <v>3342.382147</v>
      </c>
      <c r="P51" s="163">
        <f t="shared" si="47"/>
        <v>3578.824333</v>
      </c>
      <c r="Q51" s="163">
        <f t="shared" si="47"/>
        <v>3796.351144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176" t="s">
        <v>659</v>
      </c>
      <c r="C52" s="5"/>
      <c r="D52" s="5"/>
      <c r="E52" s="5"/>
      <c r="F52" s="163">
        <f t="shared" ref="F52:Q52" si="48">F38*$G91</f>
        <v>28000</v>
      </c>
      <c r="G52" s="163">
        <f t="shared" si="48"/>
        <v>28000</v>
      </c>
      <c r="H52" s="163">
        <f t="shared" si="48"/>
        <v>28000</v>
      </c>
      <c r="I52" s="163">
        <f t="shared" si="48"/>
        <v>28000</v>
      </c>
      <c r="J52" s="163">
        <f t="shared" si="48"/>
        <v>28000</v>
      </c>
      <c r="K52" s="163">
        <f t="shared" si="48"/>
        <v>28000</v>
      </c>
      <c r="L52" s="163">
        <f t="shared" si="48"/>
        <v>28000</v>
      </c>
      <c r="M52" s="163">
        <f t="shared" si="48"/>
        <v>28000</v>
      </c>
      <c r="N52" s="163">
        <f t="shared" si="48"/>
        <v>28000</v>
      </c>
      <c r="O52" s="163">
        <f t="shared" si="48"/>
        <v>28000</v>
      </c>
      <c r="P52" s="163">
        <f t="shared" si="48"/>
        <v>28000</v>
      </c>
      <c r="Q52" s="163">
        <f t="shared" si="48"/>
        <v>35000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176" t="s">
        <v>665</v>
      </c>
      <c r="C53" s="5"/>
      <c r="D53" s="5"/>
      <c r="E53" s="5"/>
      <c r="F53" s="163">
        <f t="shared" ref="F53:Q53" si="49">F39*$G$92</f>
        <v>27690.99518</v>
      </c>
      <c r="G53" s="163">
        <f t="shared" si="49"/>
        <v>30350.71075</v>
      </c>
      <c r="H53" s="163">
        <f t="shared" si="49"/>
        <v>32797.64907</v>
      </c>
      <c r="I53" s="163">
        <f t="shared" si="49"/>
        <v>35536.33184</v>
      </c>
      <c r="J53" s="163">
        <f t="shared" si="49"/>
        <v>38055.92</v>
      </c>
      <c r="K53" s="163">
        <f t="shared" si="49"/>
        <v>40373.9411</v>
      </c>
      <c r="L53" s="163">
        <f t="shared" si="49"/>
        <v>42994.02003</v>
      </c>
      <c r="M53" s="163">
        <f t="shared" si="49"/>
        <v>45404.49264</v>
      </c>
      <c r="N53" s="163">
        <f t="shared" si="49"/>
        <v>47622.12745</v>
      </c>
      <c r="O53" s="163">
        <f t="shared" si="49"/>
        <v>50149.85099</v>
      </c>
      <c r="P53" s="163">
        <f t="shared" si="49"/>
        <v>52475.35664</v>
      </c>
      <c r="Q53" s="163">
        <f t="shared" si="49"/>
        <v>54614.82185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176" t="s">
        <v>666</v>
      </c>
      <c r="C54" s="5"/>
      <c r="D54" s="5"/>
      <c r="E54" s="5"/>
      <c r="F54" s="20">
        <f t="shared" ref="F54:Q54" si="50">F40*$G$93</f>
        <v>39783.53262</v>
      </c>
      <c r="G54" s="20">
        <f t="shared" si="50"/>
        <v>43443.38867</v>
      </c>
      <c r="H54" s="20">
        <f t="shared" si="50"/>
        <v>46303.78957</v>
      </c>
      <c r="I54" s="20">
        <f t="shared" si="50"/>
        <v>50000.9456</v>
      </c>
      <c r="J54" s="20">
        <f t="shared" si="50"/>
        <v>52895.66248</v>
      </c>
      <c r="K54" s="20">
        <f t="shared" si="50"/>
        <v>56998.802</v>
      </c>
      <c r="L54" s="20">
        <f t="shared" si="50"/>
        <v>59945.94424</v>
      </c>
      <c r="M54" s="20">
        <f t="shared" si="50"/>
        <v>63430.64843</v>
      </c>
      <c r="N54" s="20">
        <f t="shared" si="50"/>
        <v>66129.90961</v>
      </c>
      <c r="O54" s="20">
        <f t="shared" si="50"/>
        <v>69678.8171</v>
      </c>
      <c r="P54" s="20">
        <f t="shared" si="50"/>
        <v>73103.81199</v>
      </c>
      <c r="Q54" s="20">
        <f t="shared" si="50"/>
        <v>75748.14063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21" t="s">
        <v>668</v>
      </c>
      <c r="C57" s="5"/>
      <c r="D57" s="5"/>
      <c r="E57" s="5"/>
      <c r="F57" s="20">
        <f t="shared" ref="F57:Q57" si="51">F28*600</f>
        <v>38788.9443</v>
      </c>
      <c r="G57" s="20">
        <f t="shared" si="51"/>
        <v>42357.30395</v>
      </c>
      <c r="H57" s="20">
        <f t="shared" si="51"/>
        <v>45146.19483</v>
      </c>
      <c r="I57" s="20">
        <f t="shared" si="51"/>
        <v>48750.92196</v>
      </c>
      <c r="J57" s="20">
        <f t="shared" si="51"/>
        <v>51573.27091</v>
      </c>
      <c r="K57" s="20">
        <f t="shared" si="51"/>
        <v>55573.83195</v>
      </c>
      <c r="L57" s="20">
        <f t="shared" si="51"/>
        <v>58447.29563</v>
      </c>
      <c r="M57" s="20">
        <f t="shared" si="51"/>
        <v>61844.88221</v>
      </c>
      <c r="N57" s="20">
        <f t="shared" si="51"/>
        <v>64476.66187</v>
      </c>
      <c r="O57" s="20">
        <f t="shared" si="51"/>
        <v>67936.84667</v>
      </c>
      <c r="P57" s="20">
        <f t="shared" si="51"/>
        <v>71276.21669</v>
      </c>
      <c r="Q57" s="20">
        <f t="shared" si="51"/>
        <v>73854.43711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19">
        <f t="shared" ref="F58:Q58" si="52">(F42+F57)/F3</f>
        <v>0.2726318429</v>
      </c>
      <c r="G58" s="19">
        <f t="shared" si="52"/>
        <v>0.2697756314</v>
      </c>
      <c r="H58" s="19">
        <f t="shared" si="52"/>
        <v>0.2660762216</v>
      </c>
      <c r="I58" s="19">
        <f t="shared" si="52"/>
        <v>0.2643474842</v>
      </c>
      <c r="J58" s="19">
        <f t="shared" si="52"/>
        <v>0.2611161271</v>
      </c>
      <c r="K58" s="19">
        <f t="shared" si="52"/>
        <v>0.2637030656</v>
      </c>
      <c r="L58" s="19">
        <f t="shared" si="52"/>
        <v>0.2604317628</v>
      </c>
      <c r="M58" s="19">
        <f t="shared" si="52"/>
        <v>0.2598175179</v>
      </c>
      <c r="N58" s="19">
        <f t="shared" si="52"/>
        <v>0.2585214221</v>
      </c>
      <c r="O58" s="19">
        <f t="shared" si="52"/>
        <v>0.2578752164</v>
      </c>
      <c r="P58" s="19">
        <f t="shared" si="52"/>
        <v>0.2584074553</v>
      </c>
      <c r="Q58" s="19">
        <f t="shared" si="52"/>
        <v>0.2580027102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178" t="s">
        <v>669</v>
      </c>
      <c r="D61" s="179"/>
      <c r="E61" s="179"/>
      <c r="F61" s="17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180" t="s">
        <v>670</v>
      </c>
      <c r="D62" s="181" t="s">
        <v>669</v>
      </c>
      <c r="E62" s="182" t="s">
        <v>671</v>
      </c>
      <c r="F62" s="183" t="s">
        <v>428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184" t="s">
        <v>200</v>
      </c>
      <c r="D63" s="185">
        <v>179880.0</v>
      </c>
      <c r="E63" s="186">
        <v>72.0</v>
      </c>
      <c r="F63" s="185">
        <v>2498.3333333333335</v>
      </c>
      <c r="G63" s="187">
        <f t="shared" ref="G63:G73" si="53">D63/$D$74</f>
        <v>0.369206177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184" t="s">
        <v>242</v>
      </c>
      <c r="D64" s="185">
        <v>152823.0</v>
      </c>
      <c r="E64" s="186">
        <v>48.0</v>
      </c>
      <c r="F64" s="185">
        <v>3183.8125</v>
      </c>
      <c r="G64" s="187">
        <f t="shared" si="53"/>
        <v>0.3136713119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184" t="s">
        <v>672</v>
      </c>
      <c r="D65" s="185">
        <v>95150.0</v>
      </c>
      <c r="E65" s="186">
        <v>48.0</v>
      </c>
      <c r="F65" s="185">
        <v>1982.2916666666667</v>
      </c>
      <c r="G65" s="187">
        <f t="shared" si="53"/>
        <v>0.1952966852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184" t="s">
        <v>279</v>
      </c>
      <c r="D66" s="185">
        <v>22000.0</v>
      </c>
      <c r="E66" s="186">
        <v>5.0</v>
      </c>
      <c r="F66" s="185">
        <v>4400.0</v>
      </c>
      <c r="G66" s="187">
        <f t="shared" si="53"/>
        <v>0.04515530294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184" t="s">
        <v>673</v>
      </c>
      <c r="D67" s="185">
        <v>19354.45</v>
      </c>
      <c r="E67" s="186">
        <v>11.0</v>
      </c>
      <c r="F67" s="185">
        <v>1759.4954545454545</v>
      </c>
      <c r="G67" s="187">
        <f t="shared" si="53"/>
        <v>0.03972527514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184" t="s">
        <v>674</v>
      </c>
      <c r="D68" s="185">
        <v>5091.0</v>
      </c>
      <c r="E68" s="186">
        <v>5.0</v>
      </c>
      <c r="F68" s="185">
        <v>1018.2</v>
      </c>
      <c r="G68" s="187">
        <f t="shared" si="53"/>
        <v>0.0104493476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184" t="s">
        <v>675</v>
      </c>
      <c r="D69" s="185">
        <v>3772.0</v>
      </c>
      <c r="E69" s="186">
        <v>4.0</v>
      </c>
      <c r="F69" s="185">
        <v>943.0</v>
      </c>
      <c r="G69" s="187">
        <f t="shared" si="53"/>
        <v>0.007742081941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184" t="s">
        <v>676</v>
      </c>
      <c r="D70" s="185">
        <v>2555.0</v>
      </c>
      <c r="E70" s="186">
        <v>3.0</v>
      </c>
      <c r="F70" s="185">
        <v>851.6666666666666</v>
      </c>
      <c r="G70" s="187">
        <f t="shared" si="53"/>
        <v>0.005244172682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184" t="s">
        <v>677</v>
      </c>
      <c r="D71" s="185">
        <v>2399.0</v>
      </c>
      <c r="E71" s="186">
        <v>2.0</v>
      </c>
      <c r="F71" s="185">
        <v>1199.5</v>
      </c>
      <c r="G71" s="187">
        <f t="shared" si="53"/>
        <v>0.004923980534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184" t="s">
        <v>678</v>
      </c>
      <c r="D72" s="185">
        <v>2183.0</v>
      </c>
      <c r="E72" s="186">
        <v>4.0</v>
      </c>
      <c r="F72" s="185">
        <v>545.75</v>
      </c>
      <c r="G72" s="187">
        <f t="shared" si="53"/>
        <v>0.00448063756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184" t="s">
        <v>679</v>
      </c>
      <c r="D73" s="185">
        <v>2000.0</v>
      </c>
      <c r="E73" s="186">
        <v>1.0</v>
      </c>
      <c r="F73" s="185">
        <v>2000.0</v>
      </c>
      <c r="G73" s="187">
        <f t="shared" si="53"/>
        <v>0.00410502754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188" t="s">
        <v>680</v>
      </c>
      <c r="D74" s="189">
        <v>487207.45</v>
      </c>
      <c r="E74" s="190">
        <v>203.0</v>
      </c>
      <c r="F74" s="189">
        <v>2400.036699507389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14"/>
      <c r="D75" s="14"/>
      <c r="E75" s="14"/>
      <c r="F75" s="14"/>
      <c r="G75" s="191"/>
      <c r="H75" s="1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14"/>
      <c r="D76" s="14"/>
      <c r="E76" s="14"/>
      <c r="F76" s="192">
        <v>300000.0</v>
      </c>
      <c r="G76" s="191"/>
      <c r="H76" s="1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193"/>
      <c r="D77" s="193"/>
      <c r="E77" s="193"/>
      <c r="F77" s="194">
        <f>D74/F76</f>
        <v>1.624024833</v>
      </c>
      <c r="G77" s="191"/>
      <c r="H77" s="1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14"/>
      <c r="D78" s="14"/>
      <c r="E78" s="14"/>
      <c r="F78" s="14"/>
      <c r="G78" s="191"/>
      <c r="H78" s="1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14"/>
      <c r="D79" s="14"/>
      <c r="E79" s="14"/>
      <c r="F79" s="14"/>
      <c r="G79" s="191"/>
      <c r="H79" s="1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1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195" t="s">
        <v>681</v>
      </c>
      <c r="C81" s="196">
        <v>0.05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197" t="s">
        <v>447</v>
      </c>
      <c r="C82" s="192">
        <v>1000000.0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195" t="s">
        <v>449</v>
      </c>
      <c r="C83" s="196">
        <v>0.08</v>
      </c>
      <c r="D83" s="191"/>
      <c r="E83" s="1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14"/>
      <c r="D84" s="191"/>
      <c r="E84" s="1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198" t="s">
        <v>682</v>
      </c>
      <c r="D85" s="199" t="s">
        <v>683</v>
      </c>
      <c r="E85" s="198" t="s">
        <v>684</v>
      </c>
      <c r="F85" s="5" t="s">
        <v>449</v>
      </c>
      <c r="G85" s="4" t="s">
        <v>667</v>
      </c>
      <c r="H85" s="4" t="s">
        <v>685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184" t="str">
        <f t="shared" ref="B86:B91" si="54">C63</f>
        <v>Performance</v>
      </c>
      <c r="C86" s="200">
        <v>3000.0</v>
      </c>
      <c r="D86" s="201">
        <v>0.37</v>
      </c>
      <c r="E86" s="202">
        <v>10.0</v>
      </c>
      <c r="F86" s="203">
        <v>0.08</v>
      </c>
      <c r="G86" s="204">
        <v>4500.0</v>
      </c>
      <c r="H86" s="20">
        <f t="shared" ref="H86:H91" si="55">C86*E86</f>
        <v>30000</v>
      </c>
      <c r="I86" s="20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184" t="str">
        <f t="shared" si="54"/>
        <v>Creators</v>
      </c>
      <c r="C87" s="206">
        <v>3000.0</v>
      </c>
      <c r="D87" s="201">
        <v>0.3136713118816225</v>
      </c>
      <c r="E87" s="207">
        <v>15.0</v>
      </c>
      <c r="F87" s="203">
        <v>0.08</v>
      </c>
      <c r="G87" s="204">
        <v>3000.0</v>
      </c>
      <c r="H87" s="20">
        <f t="shared" si="55"/>
        <v>45000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184" t="str">
        <f t="shared" si="54"/>
        <v>Social Media</v>
      </c>
      <c r="C88" s="206">
        <v>2500.0</v>
      </c>
      <c r="D88" s="201">
        <v>0.19529668522104907</v>
      </c>
      <c r="E88" s="202">
        <v>20.0</v>
      </c>
      <c r="F88" s="203">
        <v>0.08</v>
      </c>
      <c r="G88" s="204">
        <v>3000.0</v>
      </c>
      <c r="H88" s="20">
        <f t="shared" si="55"/>
        <v>50000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184" t="str">
        <f t="shared" si="54"/>
        <v>Gestão de Comunidade</v>
      </c>
      <c r="C89" s="206">
        <v>5000.0</v>
      </c>
      <c r="D89" s="201">
        <v>0.04515530294128302</v>
      </c>
      <c r="E89" s="202">
        <v>10.0</v>
      </c>
      <c r="F89" s="203">
        <v>0.08</v>
      </c>
      <c r="G89" s="204">
        <v>4500.0</v>
      </c>
      <c r="H89" s="20">
        <f t="shared" si="55"/>
        <v>50000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184" t="str">
        <f t="shared" si="54"/>
        <v>E-mail Marketing</v>
      </c>
      <c r="C90" s="206">
        <v>1500.0</v>
      </c>
      <c r="D90" s="201">
        <f t="shared" ref="D90:D91" si="56">G67</f>
        <v>0.03972527514</v>
      </c>
      <c r="E90" s="202">
        <v>15.0</v>
      </c>
      <c r="F90" s="203">
        <v>0.08</v>
      </c>
      <c r="G90" s="204">
        <v>2000.0</v>
      </c>
      <c r="H90" s="20">
        <f t="shared" si="55"/>
        <v>22500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184" t="str">
        <f t="shared" si="54"/>
        <v>Sustentação</v>
      </c>
      <c r="C91" s="206">
        <v>1500.0</v>
      </c>
      <c r="D91" s="201">
        <f t="shared" si="56"/>
        <v>0.0104493476</v>
      </c>
      <c r="E91" s="202">
        <v>15.0</v>
      </c>
      <c r="F91" s="203">
        <v>0.08</v>
      </c>
      <c r="G91" s="204">
        <v>7000.0</v>
      </c>
      <c r="H91" s="20">
        <f t="shared" si="55"/>
        <v>22500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208" t="s">
        <v>686</v>
      </c>
      <c r="C92" s="209"/>
      <c r="D92" s="201"/>
      <c r="E92" s="209"/>
      <c r="F92" s="210"/>
      <c r="G92" s="204">
        <v>4000.0</v>
      </c>
      <c r="H92" s="1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208" t="s">
        <v>687</v>
      </c>
      <c r="C93" s="20"/>
      <c r="D93" s="211"/>
      <c r="E93" s="17"/>
      <c r="F93" s="17"/>
      <c r="G93" s="212">
        <v>8000.0</v>
      </c>
      <c r="H93" s="1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E94" s="2" t="s">
        <v>688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208" t="s">
        <v>689</v>
      </c>
      <c r="C95" s="213"/>
      <c r="D95" s="214"/>
      <c r="E95" s="215">
        <v>15.0</v>
      </c>
      <c r="F95" s="213"/>
      <c r="G95" s="215">
        <v>3000.0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208" t="s">
        <v>690</v>
      </c>
      <c r="C96" s="213"/>
      <c r="D96" s="214"/>
      <c r="E96" s="215">
        <v>20.0</v>
      </c>
      <c r="F96" s="213"/>
      <c r="G96" s="215">
        <v>3000.0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208" t="s">
        <v>228</v>
      </c>
      <c r="C97" s="213"/>
      <c r="D97" s="213"/>
      <c r="E97" s="215">
        <v>26.0</v>
      </c>
      <c r="F97" s="213"/>
      <c r="G97" s="215">
        <v>3000.0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208" t="s">
        <v>691</v>
      </c>
      <c r="C98" s="213"/>
      <c r="D98" s="213"/>
      <c r="E98" s="215">
        <v>41.0</v>
      </c>
      <c r="F98" s="213"/>
      <c r="G98" s="215">
        <v>3000.0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216"/>
      <c r="C99" s="19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216" t="s">
        <v>692</v>
      </c>
      <c r="C100" s="196">
        <v>0.25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 t="s">
        <v>358</v>
      </c>
      <c r="C101" s="217">
        <v>0.25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 t="s">
        <v>693</v>
      </c>
      <c r="C102" s="217">
        <v>0.16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 t="s">
        <v>694</v>
      </c>
      <c r="C103" s="217">
        <v>0.08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 t="s">
        <v>695</v>
      </c>
      <c r="C104" s="217">
        <v>0.07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0.13"/>
    <col customWidth="1" min="3" max="3" width="17.63"/>
    <col customWidth="1" min="4" max="4" width="16.88"/>
  </cols>
  <sheetData>
    <row r="1">
      <c r="A1" s="218"/>
      <c r="B1" s="91" t="s">
        <v>696</v>
      </c>
    </row>
    <row r="2">
      <c r="A2" s="219"/>
      <c r="B2" s="11" t="s">
        <v>697</v>
      </c>
      <c r="C2" s="11" t="s">
        <v>698</v>
      </c>
      <c r="D2" s="11" t="s">
        <v>699</v>
      </c>
    </row>
    <row r="3">
      <c r="A3" s="220"/>
      <c r="B3" s="32">
        <v>20.0</v>
      </c>
      <c r="C3" s="25">
        <f>20*15000</f>
        <v>300000</v>
      </c>
      <c r="D3" s="25">
        <f>C3*20%</f>
        <v>60000</v>
      </c>
    </row>
    <row r="4">
      <c r="A4" s="220"/>
      <c r="B4" s="32"/>
      <c r="C4" s="25"/>
      <c r="D4" s="26"/>
    </row>
    <row r="5">
      <c r="A5" s="218"/>
      <c r="B5" s="91" t="s">
        <v>700</v>
      </c>
    </row>
    <row r="6">
      <c r="A6" s="219"/>
      <c r="B6" s="11" t="s">
        <v>701</v>
      </c>
      <c r="C6" s="11" t="s">
        <v>702</v>
      </c>
      <c r="D6" s="11" t="s">
        <v>699</v>
      </c>
    </row>
    <row r="7">
      <c r="A7" s="221"/>
      <c r="B7" s="25">
        <f>100000*B3</f>
        <v>2000000</v>
      </c>
      <c r="C7" s="25">
        <f>B7*20%</f>
        <v>400000</v>
      </c>
      <c r="D7" s="25">
        <f>C7*10%</f>
        <v>40000</v>
      </c>
    </row>
    <row r="8">
      <c r="A8" s="222"/>
      <c r="F8" s="26"/>
    </row>
    <row r="9">
      <c r="A9" s="218"/>
      <c r="B9" s="91" t="s">
        <v>703</v>
      </c>
    </row>
    <row r="10">
      <c r="A10" s="219"/>
      <c r="B10" s="11" t="s">
        <v>697</v>
      </c>
      <c r="C10" s="11"/>
      <c r="D10" s="11"/>
    </row>
    <row r="11">
      <c r="A11" s="221"/>
      <c r="B11" s="25"/>
      <c r="C11" s="26"/>
      <c r="D11" s="26"/>
    </row>
    <row r="12">
      <c r="A12" s="222"/>
    </row>
    <row r="13">
      <c r="A13" s="218"/>
      <c r="B13" s="91" t="s">
        <v>704</v>
      </c>
    </row>
    <row r="14">
      <c r="A14" s="222"/>
    </row>
    <row r="15">
      <c r="A15" s="222"/>
    </row>
    <row r="16">
      <c r="A16" s="222"/>
      <c r="B16" s="1" t="s">
        <v>705</v>
      </c>
      <c r="D16" s="2" t="s">
        <v>706</v>
      </c>
    </row>
    <row r="17">
      <c r="A17" s="222"/>
      <c r="B17" s="2"/>
      <c r="D17" s="2" t="s">
        <v>707</v>
      </c>
    </row>
    <row r="18">
      <c r="A18" s="223"/>
      <c r="B18" s="2" t="s">
        <v>708</v>
      </c>
    </row>
    <row r="19">
      <c r="A19" s="223"/>
      <c r="B19" s="2" t="s">
        <v>709</v>
      </c>
    </row>
    <row r="20">
      <c r="A20" s="223"/>
      <c r="B20" s="2" t="s">
        <v>710</v>
      </c>
    </row>
    <row r="21">
      <c r="A21" s="222"/>
      <c r="B21" s="2" t="s">
        <v>711</v>
      </c>
    </row>
    <row r="22">
      <c r="A22" s="222"/>
      <c r="B22" s="1" t="s">
        <v>712</v>
      </c>
    </row>
    <row r="23">
      <c r="A23" s="222"/>
    </row>
    <row r="24">
      <c r="A24" s="222"/>
    </row>
    <row r="25">
      <c r="A25" s="222"/>
    </row>
    <row r="26">
      <c r="A26" s="222"/>
    </row>
    <row r="27">
      <c r="A27" s="222"/>
    </row>
    <row r="28">
      <c r="A28" s="222"/>
    </row>
    <row r="29">
      <c r="A29" s="222"/>
    </row>
    <row r="30">
      <c r="A30" s="222"/>
    </row>
    <row r="31">
      <c r="A31" s="222"/>
    </row>
    <row r="32">
      <c r="A32" s="222"/>
    </row>
    <row r="33">
      <c r="A33" s="222"/>
    </row>
    <row r="34">
      <c r="A34" s="222"/>
    </row>
    <row r="35">
      <c r="A35" s="222"/>
    </row>
    <row r="36">
      <c r="A36" s="222"/>
    </row>
    <row r="37">
      <c r="A37" s="222"/>
    </row>
    <row r="38">
      <c r="A38" s="222"/>
    </row>
    <row r="39">
      <c r="A39" s="222"/>
    </row>
    <row r="40">
      <c r="A40" s="222"/>
    </row>
    <row r="41">
      <c r="A41" s="222"/>
    </row>
    <row r="42">
      <c r="A42" s="222"/>
    </row>
    <row r="43">
      <c r="A43" s="222"/>
    </row>
    <row r="44">
      <c r="A44" s="222"/>
    </row>
    <row r="45">
      <c r="A45" s="222"/>
    </row>
    <row r="46">
      <c r="A46" s="222"/>
    </row>
    <row r="47">
      <c r="A47" s="222"/>
    </row>
    <row r="48">
      <c r="A48" s="222"/>
    </row>
    <row r="49">
      <c r="A49" s="222"/>
    </row>
    <row r="50">
      <c r="A50" s="222"/>
    </row>
    <row r="51">
      <c r="A51" s="222"/>
    </row>
    <row r="52">
      <c r="A52" s="222"/>
    </row>
    <row r="53">
      <c r="A53" s="222"/>
    </row>
    <row r="54">
      <c r="A54" s="222"/>
    </row>
    <row r="55">
      <c r="A55" s="222"/>
    </row>
    <row r="56">
      <c r="A56" s="222"/>
    </row>
    <row r="57">
      <c r="A57" s="222"/>
    </row>
    <row r="58">
      <c r="A58" s="222"/>
    </row>
    <row r="59">
      <c r="A59" s="222"/>
    </row>
    <row r="60">
      <c r="A60" s="222"/>
    </row>
    <row r="61">
      <c r="A61" s="222"/>
    </row>
    <row r="62">
      <c r="A62" s="222"/>
    </row>
    <row r="63">
      <c r="A63" s="222"/>
    </row>
    <row r="64">
      <c r="A64" s="222"/>
    </row>
    <row r="65">
      <c r="A65" s="222"/>
    </row>
    <row r="66">
      <c r="A66" s="222"/>
    </row>
    <row r="67">
      <c r="A67" s="222"/>
    </row>
    <row r="68">
      <c r="A68" s="222"/>
    </row>
    <row r="69">
      <c r="A69" s="222"/>
    </row>
    <row r="70">
      <c r="A70" s="222"/>
    </row>
    <row r="71">
      <c r="A71" s="222"/>
    </row>
    <row r="72">
      <c r="A72" s="222"/>
    </row>
    <row r="73">
      <c r="A73" s="222"/>
    </row>
    <row r="74">
      <c r="A74" s="222"/>
    </row>
    <row r="75">
      <c r="A75" s="222"/>
    </row>
    <row r="76">
      <c r="A76" s="222"/>
    </row>
    <row r="77">
      <c r="A77" s="222"/>
    </row>
    <row r="78">
      <c r="A78" s="222"/>
    </row>
    <row r="79">
      <c r="A79" s="222"/>
    </row>
    <row r="80">
      <c r="A80" s="222"/>
    </row>
    <row r="81">
      <c r="A81" s="222"/>
    </row>
    <row r="82">
      <c r="A82" s="222"/>
    </row>
    <row r="83">
      <c r="A83" s="222"/>
    </row>
    <row r="84">
      <c r="A84" s="222"/>
    </row>
    <row r="85">
      <c r="A85" s="222"/>
    </row>
    <row r="86">
      <c r="A86" s="222"/>
    </row>
    <row r="87">
      <c r="A87" s="222"/>
    </row>
    <row r="88">
      <c r="A88" s="222"/>
    </row>
    <row r="89">
      <c r="A89" s="222"/>
    </row>
    <row r="90">
      <c r="A90" s="222"/>
    </row>
    <row r="91">
      <c r="A91" s="222"/>
    </row>
    <row r="92">
      <c r="A92" s="222"/>
    </row>
    <row r="93">
      <c r="A93" s="222"/>
    </row>
    <row r="94">
      <c r="A94" s="222"/>
    </row>
    <row r="95">
      <c r="A95" s="222"/>
    </row>
    <row r="96">
      <c r="A96" s="222"/>
    </row>
    <row r="97">
      <c r="A97" s="222"/>
    </row>
    <row r="98">
      <c r="A98" s="222"/>
    </row>
    <row r="99">
      <c r="A99" s="222"/>
    </row>
    <row r="100">
      <c r="A100" s="222"/>
    </row>
    <row r="101">
      <c r="A101" s="222"/>
    </row>
    <row r="102">
      <c r="A102" s="222"/>
    </row>
    <row r="103">
      <c r="A103" s="222"/>
    </row>
    <row r="104">
      <c r="A104" s="222"/>
    </row>
    <row r="105">
      <c r="A105" s="222"/>
    </row>
    <row r="106">
      <c r="A106" s="222"/>
    </row>
    <row r="107">
      <c r="A107" s="222"/>
    </row>
    <row r="108">
      <c r="A108" s="222"/>
    </row>
    <row r="109">
      <c r="A109" s="222"/>
    </row>
    <row r="110">
      <c r="A110" s="222"/>
    </row>
    <row r="111">
      <c r="A111" s="222"/>
    </row>
    <row r="112">
      <c r="A112" s="222"/>
    </row>
    <row r="113">
      <c r="A113" s="222"/>
    </row>
    <row r="114">
      <c r="A114" s="222"/>
    </row>
    <row r="115">
      <c r="A115" s="222"/>
    </row>
    <row r="116">
      <c r="A116" s="222"/>
    </row>
    <row r="117">
      <c r="A117" s="222"/>
    </row>
    <row r="118">
      <c r="A118" s="222"/>
    </row>
    <row r="119">
      <c r="A119" s="222"/>
    </row>
    <row r="120">
      <c r="A120" s="222"/>
    </row>
    <row r="121">
      <c r="A121" s="222"/>
    </row>
    <row r="122">
      <c r="A122" s="222"/>
    </row>
    <row r="123">
      <c r="A123" s="222"/>
    </row>
    <row r="124">
      <c r="A124" s="222"/>
    </row>
    <row r="125">
      <c r="A125" s="222"/>
    </row>
    <row r="126">
      <c r="A126" s="222"/>
    </row>
    <row r="127">
      <c r="A127" s="222"/>
    </row>
    <row r="128">
      <c r="A128" s="222"/>
    </row>
    <row r="129">
      <c r="A129" s="222"/>
    </row>
    <row r="130">
      <c r="A130" s="222"/>
    </row>
    <row r="131">
      <c r="A131" s="222"/>
    </row>
    <row r="132">
      <c r="A132" s="222"/>
    </row>
    <row r="133">
      <c r="A133" s="222"/>
    </row>
    <row r="134">
      <c r="A134" s="222"/>
    </row>
    <row r="135">
      <c r="A135" s="222"/>
    </row>
    <row r="136">
      <c r="A136" s="222"/>
    </row>
    <row r="137">
      <c r="A137" s="222"/>
    </row>
    <row r="138">
      <c r="A138" s="222"/>
    </row>
    <row r="139">
      <c r="A139" s="222"/>
    </row>
    <row r="140">
      <c r="A140" s="222"/>
    </row>
    <row r="141">
      <c r="A141" s="222"/>
    </row>
    <row r="142">
      <c r="A142" s="222"/>
    </row>
    <row r="143">
      <c r="A143" s="222"/>
    </row>
    <row r="144">
      <c r="A144" s="222"/>
    </row>
    <row r="145">
      <c r="A145" s="222"/>
    </row>
    <row r="146">
      <c r="A146" s="222"/>
    </row>
    <row r="147">
      <c r="A147" s="222"/>
    </row>
    <row r="148">
      <c r="A148" s="222"/>
    </row>
    <row r="149">
      <c r="A149" s="222"/>
    </row>
    <row r="150">
      <c r="A150" s="222"/>
    </row>
    <row r="151">
      <c r="A151" s="222"/>
    </row>
    <row r="152">
      <c r="A152" s="222"/>
    </row>
    <row r="153">
      <c r="A153" s="222"/>
    </row>
    <row r="154">
      <c r="A154" s="222"/>
    </row>
    <row r="155">
      <c r="A155" s="222"/>
    </row>
    <row r="156">
      <c r="A156" s="222"/>
    </row>
    <row r="157">
      <c r="A157" s="222"/>
    </row>
    <row r="158">
      <c r="A158" s="222"/>
    </row>
    <row r="159">
      <c r="A159" s="222"/>
    </row>
    <row r="160">
      <c r="A160" s="222"/>
    </row>
    <row r="161">
      <c r="A161" s="222"/>
    </row>
    <row r="162">
      <c r="A162" s="222"/>
    </row>
    <row r="163">
      <c r="A163" s="222"/>
    </row>
    <row r="164">
      <c r="A164" s="222"/>
    </row>
    <row r="165">
      <c r="A165" s="222"/>
    </row>
    <row r="166">
      <c r="A166" s="222"/>
    </row>
    <row r="167">
      <c r="A167" s="222"/>
    </row>
    <row r="168">
      <c r="A168" s="222"/>
    </row>
    <row r="169">
      <c r="A169" s="222"/>
    </row>
    <row r="170">
      <c r="A170" s="222"/>
    </row>
    <row r="171">
      <c r="A171" s="222"/>
    </row>
    <row r="172">
      <c r="A172" s="222"/>
    </row>
    <row r="173">
      <c r="A173" s="222"/>
    </row>
    <row r="174">
      <c r="A174" s="222"/>
    </row>
    <row r="175">
      <c r="A175" s="222"/>
    </row>
    <row r="176">
      <c r="A176" s="222"/>
    </row>
    <row r="177">
      <c r="A177" s="222"/>
    </row>
    <row r="178">
      <c r="A178" s="222"/>
    </row>
    <row r="179">
      <c r="A179" s="222"/>
    </row>
    <row r="180">
      <c r="A180" s="222"/>
    </row>
    <row r="181">
      <c r="A181" s="222"/>
    </row>
    <row r="182">
      <c r="A182" s="222"/>
    </row>
    <row r="183">
      <c r="A183" s="222"/>
    </row>
    <row r="184">
      <c r="A184" s="222"/>
    </row>
    <row r="185">
      <c r="A185" s="222"/>
    </row>
    <row r="186">
      <c r="A186" s="222"/>
    </row>
    <row r="187">
      <c r="A187" s="222"/>
    </row>
    <row r="188">
      <c r="A188" s="222"/>
    </row>
    <row r="189">
      <c r="A189" s="222"/>
    </row>
    <row r="190">
      <c r="A190" s="222"/>
    </row>
    <row r="191">
      <c r="A191" s="222"/>
    </row>
    <row r="192">
      <c r="A192" s="222"/>
    </row>
    <row r="193">
      <c r="A193" s="222"/>
    </row>
    <row r="194">
      <c r="A194" s="222"/>
    </row>
    <row r="195">
      <c r="A195" s="222"/>
    </row>
    <row r="196">
      <c r="A196" s="222"/>
    </row>
    <row r="197">
      <c r="A197" s="222"/>
    </row>
    <row r="198">
      <c r="A198" s="222"/>
    </row>
    <row r="199">
      <c r="A199" s="222"/>
    </row>
    <row r="200">
      <c r="A200" s="222"/>
    </row>
    <row r="201">
      <c r="A201" s="222"/>
    </row>
    <row r="202">
      <c r="A202" s="222"/>
    </row>
    <row r="203">
      <c r="A203" s="222"/>
    </row>
    <row r="204">
      <c r="A204" s="222"/>
    </row>
    <row r="205">
      <c r="A205" s="222"/>
    </row>
    <row r="206">
      <c r="A206" s="222"/>
    </row>
    <row r="207">
      <c r="A207" s="222"/>
    </row>
    <row r="208">
      <c r="A208" s="222"/>
    </row>
    <row r="209">
      <c r="A209" s="222"/>
    </row>
    <row r="210">
      <c r="A210" s="222"/>
    </row>
    <row r="211">
      <c r="A211" s="222"/>
    </row>
    <row r="212">
      <c r="A212" s="222"/>
    </row>
    <row r="213">
      <c r="A213" s="222"/>
    </row>
    <row r="214">
      <c r="A214" s="222"/>
    </row>
    <row r="215">
      <c r="A215" s="222"/>
    </row>
    <row r="216">
      <c r="A216" s="222"/>
    </row>
    <row r="217">
      <c r="A217" s="222"/>
    </row>
    <row r="218">
      <c r="A218" s="222"/>
    </row>
    <row r="219">
      <c r="A219" s="222"/>
    </row>
    <row r="220">
      <c r="A220" s="222"/>
    </row>
    <row r="221">
      <c r="A221" s="222"/>
    </row>
    <row r="222">
      <c r="A222" s="222"/>
    </row>
    <row r="223">
      <c r="A223" s="222"/>
    </row>
    <row r="224">
      <c r="A224" s="222"/>
    </row>
    <row r="225">
      <c r="A225" s="222"/>
    </row>
    <row r="226">
      <c r="A226" s="222"/>
    </row>
    <row r="227">
      <c r="A227" s="222"/>
    </row>
    <row r="228">
      <c r="A228" s="222"/>
    </row>
    <row r="229">
      <c r="A229" s="222"/>
    </row>
    <row r="230">
      <c r="A230" s="222"/>
    </row>
    <row r="231">
      <c r="A231" s="222"/>
    </row>
    <row r="232">
      <c r="A232" s="222"/>
    </row>
    <row r="233">
      <c r="A233" s="222"/>
    </row>
    <row r="234">
      <c r="A234" s="222"/>
    </row>
    <row r="235">
      <c r="A235" s="222"/>
    </row>
    <row r="236">
      <c r="A236" s="222"/>
    </row>
    <row r="237">
      <c r="A237" s="222"/>
    </row>
    <row r="238">
      <c r="A238" s="222"/>
    </row>
    <row r="239">
      <c r="A239" s="222"/>
    </row>
    <row r="240">
      <c r="A240" s="222"/>
    </row>
    <row r="241">
      <c r="A241" s="222"/>
    </row>
    <row r="242">
      <c r="A242" s="222"/>
    </row>
    <row r="243">
      <c r="A243" s="222"/>
    </row>
    <row r="244">
      <c r="A244" s="222"/>
    </row>
    <row r="245">
      <c r="A245" s="222"/>
    </row>
    <row r="246">
      <c r="A246" s="222"/>
    </row>
    <row r="247">
      <c r="A247" s="222"/>
    </row>
    <row r="248">
      <c r="A248" s="222"/>
    </row>
    <row r="249">
      <c r="A249" s="222"/>
    </row>
    <row r="250">
      <c r="A250" s="222"/>
    </row>
    <row r="251">
      <c r="A251" s="222"/>
    </row>
    <row r="252">
      <c r="A252" s="222"/>
    </row>
    <row r="253">
      <c r="A253" s="222"/>
    </row>
    <row r="254">
      <c r="A254" s="222"/>
    </row>
    <row r="255">
      <c r="A255" s="222"/>
    </row>
    <row r="256">
      <c r="A256" s="222"/>
    </row>
    <row r="257">
      <c r="A257" s="222"/>
    </row>
    <row r="258">
      <c r="A258" s="222"/>
    </row>
    <row r="259">
      <c r="A259" s="222"/>
    </row>
    <row r="260">
      <c r="A260" s="222"/>
    </row>
    <row r="261">
      <c r="A261" s="222"/>
    </row>
    <row r="262">
      <c r="A262" s="222"/>
    </row>
    <row r="263">
      <c r="A263" s="222"/>
    </row>
    <row r="264">
      <c r="A264" s="222"/>
    </row>
    <row r="265">
      <c r="A265" s="222"/>
    </row>
    <row r="266">
      <c r="A266" s="222"/>
    </row>
    <row r="267">
      <c r="A267" s="222"/>
    </row>
    <row r="268">
      <c r="A268" s="222"/>
    </row>
    <row r="269">
      <c r="A269" s="222"/>
    </row>
    <row r="270">
      <c r="A270" s="222"/>
    </row>
    <row r="271">
      <c r="A271" s="222"/>
    </row>
    <row r="272">
      <c r="A272" s="222"/>
    </row>
    <row r="273">
      <c r="A273" s="222"/>
    </row>
    <row r="274">
      <c r="A274" s="222"/>
    </row>
    <row r="275">
      <c r="A275" s="222"/>
    </row>
    <row r="276">
      <c r="A276" s="222"/>
    </row>
    <row r="277">
      <c r="A277" s="222"/>
    </row>
    <row r="278">
      <c r="A278" s="222"/>
    </row>
    <row r="279">
      <c r="A279" s="222"/>
    </row>
    <row r="280">
      <c r="A280" s="222"/>
    </row>
    <row r="281">
      <c r="A281" s="222"/>
    </row>
    <row r="282">
      <c r="A282" s="222"/>
    </row>
    <row r="283">
      <c r="A283" s="222"/>
    </row>
    <row r="284">
      <c r="A284" s="222"/>
    </row>
    <row r="285">
      <c r="A285" s="222"/>
    </row>
    <row r="286">
      <c r="A286" s="222"/>
    </row>
    <row r="287">
      <c r="A287" s="222"/>
    </row>
    <row r="288">
      <c r="A288" s="222"/>
    </row>
    <row r="289">
      <c r="A289" s="222"/>
    </row>
    <row r="290">
      <c r="A290" s="222"/>
    </row>
    <row r="291">
      <c r="A291" s="222"/>
    </row>
    <row r="292">
      <c r="A292" s="222"/>
    </row>
    <row r="293">
      <c r="A293" s="222"/>
    </row>
    <row r="294">
      <c r="A294" s="222"/>
    </row>
    <row r="295">
      <c r="A295" s="222"/>
    </row>
    <row r="296">
      <c r="A296" s="222"/>
    </row>
    <row r="297">
      <c r="A297" s="222"/>
    </row>
    <row r="298">
      <c r="A298" s="222"/>
    </row>
    <row r="299">
      <c r="A299" s="222"/>
    </row>
    <row r="300">
      <c r="A300" s="222"/>
    </row>
    <row r="301">
      <c r="A301" s="222"/>
    </row>
    <row r="302">
      <c r="A302" s="222"/>
    </row>
    <row r="303">
      <c r="A303" s="222"/>
    </row>
    <row r="304">
      <c r="A304" s="222"/>
    </row>
    <row r="305">
      <c r="A305" s="222"/>
    </row>
    <row r="306">
      <c r="A306" s="222"/>
    </row>
    <row r="307">
      <c r="A307" s="222"/>
    </row>
    <row r="308">
      <c r="A308" s="222"/>
    </row>
    <row r="309">
      <c r="A309" s="222"/>
    </row>
    <row r="310">
      <c r="A310" s="222"/>
    </row>
    <row r="311">
      <c r="A311" s="222"/>
    </row>
    <row r="312">
      <c r="A312" s="222"/>
    </row>
    <row r="313">
      <c r="A313" s="222"/>
    </row>
    <row r="314">
      <c r="A314" s="222"/>
    </row>
    <row r="315">
      <c r="A315" s="222"/>
    </row>
    <row r="316">
      <c r="A316" s="222"/>
    </row>
    <row r="317">
      <c r="A317" s="222"/>
    </row>
    <row r="318">
      <c r="A318" s="222"/>
    </row>
    <row r="319">
      <c r="A319" s="222"/>
    </row>
    <row r="320">
      <c r="A320" s="222"/>
    </row>
    <row r="321">
      <c r="A321" s="222"/>
    </row>
    <row r="322">
      <c r="A322" s="222"/>
    </row>
    <row r="323">
      <c r="A323" s="222"/>
    </row>
    <row r="324">
      <c r="A324" s="222"/>
    </row>
    <row r="325">
      <c r="A325" s="222"/>
    </row>
    <row r="326">
      <c r="A326" s="222"/>
    </row>
    <row r="327">
      <c r="A327" s="222"/>
    </row>
    <row r="328">
      <c r="A328" s="222"/>
    </row>
    <row r="329">
      <c r="A329" s="222"/>
    </row>
    <row r="330">
      <c r="A330" s="222"/>
    </row>
    <row r="331">
      <c r="A331" s="222"/>
    </row>
    <row r="332">
      <c r="A332" s="222"/>
    </row>
    <row r="333">
      <c r="A333" s="222"/>
    </row>
    <row r="334">
      <c r="A334" s="222"/>
    </row>
    <row r="335">
      <c r="A335" s="222"/>
    </row>
    <row r="336">
      <c r="A336" s="222"/>
    </row>
    <row r="337">
      <c r="A337" s="222"/>
    </row>
    <row r="338">
      <c r="A338" s="222"/>
    </row>
    <row r="339">
      <c r="A339" s="222"/>
    </row>
    <row r="340">
      <c r="A340" s="222"/>
    </row>
    <row r="341">
      <c r="A341" s="222"/>
    </row>
    <row r="342">
      <c r="A342" s="222"/>
    </row>
    <row r="343">
      <c r="A343" s="222"/>
    </row>
    <row r="344">
      <c r="A344" s="222"/>
    </row>
    <row r="345">
      <c r="A345" s="222"/>
    </row>
    <row r="346">
      <c r="A346" s="222"/>
    </row>
    <row r="347">
      <c r="A347" s="222"/>
    </row>
    <row r="348">
      <c r="A348" s="222"/>
    </row>
    <row r="349">
      <c r="A349" s="222"/>
    </row>
    <row r="350">
      <c r="A350" s="222"/>
    </row>
    <row r="351">
      <c r="A351" s="222"/>
    </row>
    <row r="352">
      <c r="A352" s="222"/>
    </row>
    <row r="353">
      <c r="A353" s="222"/>
    </row>
    <row r="354">
      <c r="A354" s="222"/>
    </row>
    <row r="355">
      <c r="A355" s="222"/>
    </row>
    <row r="356">
      <c r="A356" s="222"/>
    </row>
    <row r="357">
      <c r="A357" s="222"/>
    </row>
    <row r="358">
      <c r="A358" s="222"/>
    </row>
    <row r="359">
      <c r="A359" s="222"/>
    </row>
    <row r="360">
      <c r="A360" s="222"/>
    </row>
    <row r="361">
      <c r="A361" s="222"/>
    </row>
    <row r="362">
      <c r="A362" s="222"/>
    </row>
    <row r="363">
      <c r="A363" s="222"/>
    </row>
    <row r="364">
      <c r="A364" s="222"/>
    </row>
    <row r="365">
      <c r="A365" s="222"/>
    </row>
    <row r="366">
      <c r="A366" s="222"/>
    </row>
    <row r="367">
      <c r="A367" s="222"/>
    </row>
    <row r="368">
      <c r="A368" s="222"/>
    </row>
    <row r="369">
      <c r="A369" s="222"/>
    </row>
    <row r="370">
      <c r="A370" s="222"/>
    </row>
    <row r="371">
      <c r="A371" s="222"/>
    </row>
    <row r="372">
      <c r="A372" s="222"/>
    </row>
    <row r="373">
      <c r="A373" s="222"/>
    </row>
    <row r="374">
      <c r="A374" s="222"/>
    </row>
    <row r="375">
      <c r="A375" s="222"/>
    </row>
    <row r="376">
      <c r="A376" s="222"/>
    </row>
    <row r="377">
      <c r="A377" s="222"/>
    </row>
    <row r="378">
      <c r="A378" s="222"/>
    </row>
    <row r="379">
      <c r="A379" s="222"/>
    </row>
    <row r="380">
      <c r="A380" s="222"/>
    </row>
    <row r="381">
      <c r="A381" s="222"/>
    </row>
    <row r="382">
      <c r="A382" s="222"/>
    </row>
    <row r="383">
      <c r="A383" s="222"/>
    </row>
    <row r="384">
      <c r="A384" s="222"/>
    </row>
    <row r="385">
      <c r="A385" s="222"/>
    </row>
    <row r="386">
      <c r="A386" s="222"/>
    </row>
    <row r="387">
      <c r="A387" s="222"/>
    </row>
    <row r="388">
      <c r="A388" s="222"/>
    </row>
    <row r="389">
      <c r="A389" s="222"/>
    </row>
    <row r="390">
      <c r="A390" s="222"/>
    </row>
    <row r="391">
      <c r="A391" s="222"/>
    </row>
    <row r="392">
      <c r="A392" s="222"/>
    </row>
    <row r="393">
      <c r="A393" s="222"/>
    </row>
    <row r="394">
      <c r="A394" s="222"/>
    </row>
    <row r="395">
      <c r="A395" s="222"/>
    </row>
    <row r="396">
      <c r="A396" s="222"/>
    </row>
    <row r="397">
      <c r="A397" s="222"/>
    </row>
    <row r="398">
      <c r="A398" s="222"/>
    </row>
    <row r="399">
      <c r="A399" s="222"/>
    </row>
    <row r="400">
      <c r="A400" s="222"/>
    </row>
    <row r="401">
      <c r="A401" s="222"/>
    </row>
    <row r="402">
      <c r="A402" s="222"/>
    </row>
    <row r="403">
      <c r="A403" s="222"/>
    </row>
    <row r="404">
      <c r="A404" s="222"/>
    </row>
    <row r="405">
      <c r="A405" s="222"/>
    </row>
    <row r="406">
      <c r="A406" s="222"/>
    </row>
    <row r="407">
      <c r="A407" s="222"/>
    </row>
    <row r="408">
      <c r="A408" s="222"/>
    </row>
    <row r="409">
      <c r="A409" s="222"/>
    </row>
    <row r="410">
      <c r="A410" s="222"/>
    </row>
    <row r="411">
      <c r="A411" s="222"/>
    </row>
    <row r="412">
      <c r="A412" s="222"/>
    </row>
    <row r="413">
      <c r="A413" s="222"/>
    </row>
    <row r="414">
      <c r="A414" s="222"/>
    </row>
    <row r="415">
      <c r="A415" s="222"/>
    </row>
    <row r="416">
      <c r="A416" s="222"/>
    </row>
    <row r="417">
      <c r="A417" s="222"/>
    </row>
    <row r="418">
      <c r="A418" s="222"/>
    </row>
    <row r="419">
      <c r="A419" s="222"/>
    </row>
    <row r="420">
      <c r="A420" s="222"/>
    </row>
    <row r="421">
      <c r="A421" s="222"/>
    </row>
    <row r="422">
      <c r="A422" s="222"/>
    </row>
    <row r="423">
      <c r="A423" s="222"/>
    </row>
    <row r="424">
      <c r="A424" s="222"/>
    </row>
    <row r="425">
      <c r="A425" s="222"/>
    </row>
    <row r="426">
      <c r="A426" s="222"/>
    </row>
    <row r="427">
      <c r="A427" s="222"/>
    </row>
    <row r="428">
      <c r="A428" s="222"/>
    </row>
    <row r="429">
      <c r="A429" s="222"/>
    </row>
    <row r="430">
      <c r="A430" s="222"/>
    </row>
    <row r="431">
      <c r="A431" s="222"/>
    </row>
    <row r="432">
      <c r="A432" s="222"/>
    </row>
    <row r="433">
      <c r="A433" s="222"/>
    </row>
    <row r="434">
      <c r="A434" s="222"/>
    </row>
    <row r="435">
      <c r="A435" s="222"/>
    </row>
    <row r="436">
      <c r="A436" s="222"/>
    </row>
    <row r="437">
      <c r="A437" s="222"/>
    </row>
    <row r="438">
      <c r="A438" s="222"/>
    </row>
    <row r="439">
      <c r="A439" s="222"/>
    </row>
    <row r="440">
      <c r="A440" s="222"/>
    </row>
    <row r="441">
      <c r="A441" s="222"/>
    </row>
    <row r="442">
      <c r="A442" s="222"/>
    </row>
    <row r="443">
      <c r="A443" s="222"/>
    </row>
    <row r="444">
      <c r="A444" s="222"/>
    </row>
    <row r="445">
      <c r="A445" s="222"/>
    </row>
    <row r="446">
      <c r="A446" s="222"/>
    </row>
    <row r="447">
      <c r="A447" s="222"/>
    </row>
    <row r="448">
      <c r="A448" s="222"/>
    </row>
    <row r="449">
      <c r="A449" s="222"/>
    </row>
    <row r="450">
      <c r="A450" s="222"/>
    </row>
    <row r="451">
      <c r="A451" s="222"/>
    </row>
    <row r="452">
      <c r="A452" s="222"/>
    </row>
    <row r="453">
      <c r="A453" s="222"/>
    </row>
    <row r="454">
      <c r="A454" s="222"/>
    </row>
    <row r="455">
      <c r="A455" s="222"/>
    </row>
    <row r="456">
      <c r="A456" s="222"/>
    </row>
    <row r="457">
      <c r="A457" s="222"/>
    </row>
    <row r="458">
      <c r="A458" s="222"/>
    </row>
    <row r="459">
      <c r="A459" s="222"/>
    </row>
    <row r="460">
      <c r="A460" s="222"/>
    </row>
    <row r="461">
      <c r="A461" s="222"/>
    </row>
    <row r="462">
      <c r="A462" s="222"/>
    </row>
    <row r="463">
      <c r="A463" s="222"/>
    </row>
    <row r="464">
      <c r="A464" s="222"/>
    </row>
    <row r="465">
      <c r="A465" s="222"/>
    </row>
    <row r="466">
      <c r="A466" s="222"/>
    </row>
    <row r="467">
      <c r="A467" s="222"/>
    </row>
    <row r="468">
      <c r="A468" s="222"/>
    </row>
    <row r="469">
      <c r="A469" s="222"/>
    </row>
    <row r="470">
      <c r="A470" s="222"/>
    </row>
    <row r="471">
      <c r="A471" s="222"/>
    </row>
    <row r="472">
      <c r="A472" s="222"/>
    </row>
    <row r="473">
      <c r="A473" s="222"/>
    </row>
    <row r="474">
      <c r="A474" s="222"/>
    </row>
    <row r="475">
      <c r="A475" s="222"/>
    </row>
    <row r="476">
      <c r="A476" s="222"/>
    </row>
    <row r="477">
      <c r="A477" s="222"/>
    </row>
    <row r="478">
      <c r="A478" s="222"/>
    </row>
    <row r="479">
      <c r="A479" s="222"/>
    </row>
    <row r="480">
      <c r="A480" s="222"/>
    </row>
    <row r="481">
      <c r="A481" s="222"/>
    </row>
    <row r="482">
      <c r="A482" s="222"/>
    </row>
    <row r="483">
      <c r="A483" s="222"/>
    </row>
    <row r="484">
      <c r="A484" s="222"/>
    </row>
    <row r="485">
      <c r="A485" s="222"/>
    </row>
    <row r="486">
      <c r="A486" s="222"/>
    </row>
    <row r="487">
      <c r="A487" s="222"/>
    </row>
    <row r="488">
      <c r="A488" s="222"/>
    </row>
    <row r="489">
      <c r="A489" s="222"/>
    </row>
    <row r="490">
      <c r="A490" s="222"/>
    </row>
    <row r="491">
      <c r="A491" s="222"/>
    </row>
    <row r="492">
      <c r="A492" s="222"/>
    </row>
    <row r="493">
      <c r="A493" s="222"/>
    </row>
    <row r="494">
      <c r="A494" s="222"/>
    </row>
    <row r="495">
      <c r="A495" s="222"/>
    </row>
    <row r="496">
      <c r="A496" s="222"/>
    </row>
    <row r="497">
      <c r="A497" s="222"/>
    </row>
    <row r="498">
      <c r="A498" s="222"/>
    </row>
    <row r="499">
      <c r="A499" s="222"/>
    </row>
    <row r="500">
      <c r="A500" s="222"/>
    </row>
    <row r="501">
      <c r="A501" s="222"/>
    </row>
    <row r="502">
      <c r="A502" s="222"/>
    </row>
    <row r="503">
      <c r="A503" s="222"/>
    </row>
    <row r="504">
      <c r="A504" s="222"/>
    </row>
    <row r="505">
      <c r="A505" s="222"/>
    </row>
    <row r="506">
      <c r="A506" s="222"/>
    </row>
    <row r="507">
      <c r="A507" s="222"/>
    </row>
    <row r="508">
      <c r="A508" s="222"/>
    </row>
    <row r="509">
      <c r="A509" s="222"/>
    </row>
    <row r="510">
      <c r="A510" s="222"/>
    </row>
    <row r="511">
      <c r="A511" s="222"/>
    </row>
    <row r="512">
      <c r="A512" s="222"/>
    </row>
    <row r="513">
      <c r="A513" s="222"/>
    </row>
    <row r="514">
      <c r="A514" s="222"/>
    </row>
    <row r="515">
      <c r="A515" s="222"/>
    </row>
    <row r="516">
      <c r="A516" s="222"/>
    </row>
    <row r="517">
      <c r="A517" s="222"/>
    </row>
    <row r="518">
      <c r="A518" s="222"/>
    </row>
    <row r="519">
      <c r="A519" s="222"/>
    </row>
    <row r="520">
      <c r="A520" s="222"/>
    </row>
    <row r="521">
      <c r="A521" s="222"/>
    </row>
    <row r="522">
      <c r="A522" s="222"/>
    </row>
    <row r="523">
      <c r="A523" s="222"/>
    </row>
    <row r="524">
      <c r="A524" s="222"/>
    </row>
    <row r="525">
      <c r="A525" s="222"/>
    </row>
    <row r="526">
      <c r="A526" s="222"/>
    </row>
    <row r="527">
      <c r="A527" s="222"/>
    </row>
    <row r="528">
      <c r="A528" s="222"/>
    </row>
    <row r="529">
      <c r="A529" s="222"/>
    </row>
    <row r="530">
      <c r="A530" s="222"/>
    </row>
    <row r="531">
      <c r="A531" s="222"/>
    </row>
    <row r="532">
      <c r="A532" s="222"/>
    </row>
    <row r="533">
      <c r="A533" s="222"/>
    </row>
    <row r="534">
      <c r="A534" s="222"/>
    </row>
    <row r="535">
      <c r="A535" s="222"/>
    </row>
    <row r="536">
      <c r="A536" s="222"/>
    </row>
    <row r="537">
      <c r="A537" s="222"/>
    </row>
    <row r="538">
      <c r="A538" s="222"/>
    </row>
    <row r="539">
      <c r="A539" s="222"/>
    </row>
    <row r="540">
      <c r="A540" s="222"/>
    </row>
    <row r="541">
      <c r="A541" s="222"/>
    </row>
    <row r="542">
      <c r="A542" s="222"/>
    </row>
    <row r="543">
      <c r="A543" s="222"/>
    </row>
    <row r="544">
      <c r="A544" s="222"/>
    </row>
    <row r="545">
      <c r="A545" s="222"/>
    </row>
    <row r="546">
      <c r="A546" s="222"/>
    </row>
    <row r="547">
      <c r="A547" s="222"/>
    </row>
    <row r="548">
      <c r="A548" s="222"/>
    </row>
    <row r="549">
      <c r="A549" s="222"/>
    </row>
    <row r="550">
      <c r="A550" s="222"/>
    </row>
    <row r="551">
      <c r="A551" s="222"/>
    </row>
    <row r="552">
      <c r="A552" s="222"/>
    </row>
    <row r="553">
      <c r="A553" s="222"/>
    </row>
    <row r="554">
      <c r="A554" s="222"/>
    </row>
    <row r="555">
      <c r="A555" s="222"/>
    </row>
    <row r="556">
      <c r="A556" s="222"/>
    </row>
    <row r="557">
      <c r="A557" s="222"/>
    </row>
    <row r="558">
      <c r="A558" s="222"/>
    </row>
    <row r="559">
      <c r="A559" s="222"/>
    </row>
    <row r="560">
      <c r="A560" s="222"/>
    </row>
    <row r="561">
      <c r="A561" s="222"/>
    </row>
    <row r="562">
      <c r="A562" s="222"/>
    </row>
    <row r="563">
      <c r="A563" s="222"/>
    </row>
    <row r="564">
      <c r="A564" s="222"/>
    </row>
    <row r="565">
      <c r="A565" s="222"/>
    </row>
    <row r="566">
      <c r="A566" s="222"/>
    </row>
    <row r="567">
      <c r="A567" s="222"/>
    </row>
    <row r="568">
      <c r="A568" s="222"/>
    </row>
    <row r="569">
      <c r="A569" s="222"/>
    </row>
    <row r="570">
      <c r="A570" s="222"/>
    </row>
    <row r="571">
      <c r="A571" s="222"/>
    </row>
    <row r="572">
      <c r="A572" s="222"/>
    </row>
    <row r="573">
      <c r="A573" s="222"/>
    </row>
    <row r="574">
      <c r="A574" s="222"/>
    </row>
    <row r="575">
      <c r="A575" s="222"/>
    </row>
    <row r="576">
      <c r="A576" s="222"/>
    </row>
    <row r="577">
      <c r="A577" s="222"/>
    </row>
    <row r="578">
      <c r="A578" s="222"/>
    </row>
    <row r="579">
      <c r="A579" s="222"/>
    </row>
    <row r="580">
      <c r="A580" s="222"/>
    </row>
    <row r="581">
      <c r="A581" s="222"/>
    </row>
    <row r="582">
      <c r="A582" s="222"/>
    </row>
    <row r="583">
      <c r="A583" s="222"/>
    </row>
    <row r="584">
      <c r="A584" s="222"/>
    </row>
    <row r="585">
      <c r="A585" s="222"/>
    </row>
    <row r="586">
      <c r="A586" s="222"/>
    </row>
    <row r="587">
      <c r="A587" s="222"/>
    </row>
    <row r="588">
      <c r="A588" s="222"/>
    </row>
    <row r="589">
      <c r="A589" s="222"/>
    </row>
    <row r="590">
      <c r="A590" s="222"/>
    </row>
    <row r="591">
      <c r="A591" s="222"/>
    </row>
    <row r="592">
      <c r="A592" s="222"/>
    </row>
    <row r="593">
      <c r="A593" s="222"/>
    </row>
    <row r="594">
      <c r="A594" s="222"/>
    </row>
    <row r="595">
      <c r="A595" s="222"/>
    </row>
    <row r="596">
      <c r="A596" s="222"/>
    </row>
    <row r="597">
      <c r="A597" s="222"/>
    </row>
    <row r="598">
      <c r="A598" s="222"/>
    </row>
    <row r="599">
      <c r="A599" s="222"/>
    </row>
    <row r="600">
      <c r="A600" s="222"/>
    </row>
    <row r="601">
      <c r="A601" s="222"/>
    </row>
    <row r="602">
      <c r="A602" s="222"/>
    </row>
    <row r="603">
      <c r="A603" s="222"/>
    </row>
    <row r="604">
      <c r="A604" s="222"/>
    </row>
    <row r="605">
      <c r="A605" s="222"/>
    </row>
    <row r="606">
      <c r="A606" s="222"/>
    </row>
    <row r="607">
      <c r="A607" s="222"/>
    </row>
    <row r="608">
      <c r="A608" s="222"/>
    </row>
    <row r="609">
      <c r="A609" s="222"/>
    </row>
    <row r="610">
      <c r="A610" s="222"/>
    </row>
    <row r="611">
      <c r="A611" s="222"/>
    </row>
    <row r="612">
      <c r="A612" s="222"/>
    </row>
    <row r="613">
      <c r="A613" s="222"/>
    </row>
    <row r="614">
      <c r="A614" s="222"/>
    </row>
    <row r="615">
      <c r="A615" s="222"/>
    </row>
    <row r="616">
      <c r="A616" s="222"/>
    </row>
    <row r="617">
      <c r="A617" s="222"/>
    </row>
    <row r="618">
      <c r="A618" s="222"/>
    </row>
    <row r="619">
      <c r="A619" s="222"/>
    </row>
    <row r="620">
      <c r="A620" s="222"/>
    </row>
    <row r="621">
      <c r="A621" s="222"/>
    </row>
    <row r="622">
      <c r="A622" s="222"/>
    </row>
    <row r="623">
      <c r="A623" s="222"/>
    </row>
    <row r="624">
      <c r="A624" s="222"/>
    </row>
    <row r="625">
      <c r="A625" s="222"/>
    </row>
    <row r="626">
      <c r="A626" s="222"/>
    </row>
    <row r="627">
      <c r="A627" s="222"/>
    </row>
    <row r="628">
      <c r="A628" s="222"/>
    </row>
    <row r="629">
      <c r="A629" s="222"/>
    </row>
    <row r="630">
      <c r="A630" s="222"/>
    </row>
    <row r="631">
      <c r="A631" s="222"/>
    </row>
    <row r="632">
      <c r="A632" s="222"/>
    </row>
    <row r="633">
      <c r="A633" s="222"/>
    </row>
    <row r="634">
      <c r="A634" s="222"/>
    </row>
    <row r="635">
      <c r="A635" s="222"/>
    </row>
    <row r="636">
      <c r="A636" s="222"/>
    </row>
    <row r="637">
      <c r="A637" s="222"/>
    </row>
    <row r="638">
      <c r="A638" s="222"/>
    </row>
    <row r="639">
      <c r="A639" s="222"/>
    </row>
    <row r="640">
      <c r="A640" s="222"/>
    </row>
    <row r="641">
      <c r="A641" s="222"/>
    </row>
    <row r="642">
      <c r="A642" s="222"/>
    </row>
    <row r="643">
      <c r="A643" s="222"/>
    </row>
    <row r="644">
      <c r="A644" s="222"/>
    </row>
    <row r="645">
      <c r="A645" s="222"/>
    </row>
    <row r="646">
      <c r="A646" s="222"/>
    </row>
    <row r="647">
      <c r="A647" s="222"/>
    </row>
    <row r="648">
      <c r="A648" s="222"/>
    </row>
    <row r="649">
      <c r="A649" s="222"/>
    </row>
    <row r="650">
      <c r="A650" s="222"/>
    </row>
    <row r="651">
      <c r="A651" s="222"/>
    </row>
    <row r="652">
      <c r="A652" s="222"/>
    </row>
    <row r="653">
      <c r="A653" s="222"/>
    </row>
    <row r="654">
      <c r="A654" s="222"/>
    </row>
    <row r="655">
      <c r="A655" s="222"/>
    </row>
    <row r="656">
      <c r="A656" s="222"/>
    </row>
    <row r="657">
      <c r="A657" s="222"/>
    </row>
    <row r="658">
      <c r="A658" s="222"/>
    </row>
    <row r="659">
      <c r="A659" s="222"/>
    </row>
    <row r="660">
      <c r="A660" s="222"/>
    </row>
    <row r="661">
      <c r="A661" s="222"/>
    </row>
    <row r="662">
      <c r="A662" s="222"/>
    </row>
    <row r="663">
      <c r="A663" s="222"/>
    </row>
    <row r="664">
      <c r="A664" s="222"/>
    </row>
    <row r="665">
      <c r="A665" s="222"/>
    </row>
    <row r="666">
      <c r="A666" s="222"/>
    </row>
    <row r="667">
      <c r="A667" s="222"/>
    </row>
    <row r="668">
      <c r="A668" s="222"/>
    </row>
    <row r="669">
      <c r="A669" s="222"/>
    </row>
    <row r="670">
      <c r="A670" s="222"/>
    </row>
    <row r="671">
      <c r="A671" s="222"/>
    </row>
    <row r="672">
      <c r="A672" s="222"/>
    </row>
    <row r="673">
      <c r="A673" s="222"/>
    </row>
    <row r="674">
      <c r="A674" s="222"/>
    </row>
    <row r="675">
      <c r="A675" s="222"/>
    </row>
    <row r="676">
      <c r="A676" s="222"/>
    </row>
    <row r="677">
      <c r="A677" s="222"/>
    </row>
    <row r="678">
      <c r="A678" s="222"/>
    </row>
    <row r="679">
      <c r="A679" s="222"/>
    </row>
    <row r="680">
      <c r="A680" s="222"/>
    </row>
    <row r="681">
      <c r="A681" s="222"/>
    </row>
    <row r="682">
      <c r="A682" s="222"/>
    </row>
    <row r="683">
      <c r="A683" s="222"/>
    </row>
    <row r="684">
      <c r="A684" s="222"/>
    </row>
    <row r="685">
      <c r="A685" s="222"/>
    </row>
    <row r="686">
      <c r="A686" s="222"/>
    </row>
    <row r="687">
      <c r="A687" s="222"/>
    </row>
    <row r="688">
      <c r="A688" s="222"/>
    </row>
    <row r="689">
      <c r="A689" s="222"/>
    </row>
    <row r="690">
      <c r="A690" s="222"/>
    </row>
    <row r="691">
      <c r="A691" s="222"/>
    </row>
    <row r="692">
      <c r="A692" s="222"/>
    </row>
    <row r="693">
      <c r="A693" s="222"/>
    </row>
    <row r="694">
      <c r="A694" s="222"/>
    </row>
    <row r="695">
      <c r="A695" s="222"/>
    </row>
    <row r="696">
      <c r="A696" s="222"/>
    </row>
    <row r="697">
      <c r="A697" s="222"/>
    </row>
    <row r="698">
      <c r="A698" s="222"/>
    </row>
    <row r="699">
      <c r="A699" s="222"/>
    </row>
    <row r="700">
      <c r="A700" s="222"/>
    </row>
    <row r="701">
      <c r="A701" s="222"/>
    </row>
    <row r="702">
      <c r="A702" s="222"/>
    </row>
    <row r="703">
      <c r="A703" s="222"/>
    </row>
    <row r="704">
      <c r="A704" s="222"/>
    </row>
    <row r="705">
      <c r="A705" s="222"/>
    </row>
    <row r="706">
      <c r="A706" s="222"/>
    </row>
    <row r="707">
      <c r="A707" s="222"/>
    </row>
    <row r="708">
      <c r="A708" s="222"/>
    </row>
    <row r="709">
      <c r="A709" s="222"/>
    </row>
    <row r="710">
      <c r="A710" s="222"/>
    </row>
    <row r="711">
      <c r="A711" s="222"/>
    </row>
    <row r="712">
      <c r="A712" s="222"/>
    </row>
    <row r="713">
      <c r="A713" s="222"/>
    </row>
    <row r="714">
      <c r="A714" s="222"/>
    </row>
    <row r="715">
      <c r="A715" s="222"/>
    </row>
    <row r="716">
      <c r="A716" s="222"/>
    </row>
    <row r="717">
      <c r="A717" s="222"/>
    </row>
    <row r="718">
      <c r="A718" s="222"/>
    </row>
    <row r="719">
      <c r="A719" s="222"/>
    </row>
    <row r="720">
      <c r="A720" s="222"/>
    </row>
    <row r="721">
      <c r="A721" s="222"/>
    </row>
    <row r="722">
      <c r="A722" s="222"/>
    </row>
    <row r="723">
      <c r="A723" s="222"/>
    </row>
    <row r="724">
      <c r="A724" s="222"/>
    </row>
    <row r="725">
      <c r="A725" s="222"/>
    </row>
    <row r="726">
      <c r="A726" s="222"/>
    </row>
    <row r="727">
      <c r="A727" s="222"/>
    </row>
    <row r="728">
      <c r="A728" s="222"/>
    </row>
    <row r="729">
      <c r="A729" s="222"/>
    </row>
    <row r="730">
      <c r="A730" s="222"/>
    </row>
    <row r="731">
      <c r="A731" s="222"/>
    </row>
    <row r="732">
      <c r="A732" s="222"/>
    </row>
    <row r="733">
      <c r="A733" s="222"/>
    </row>
    <row r="734">
      <c r="A734" s="222"/>
    </row>
    <row r="735">
      <c r="A735" s="222"/>
    </row>
    <row r="736">
      <c r="A736" s="222"/>
    </row>
    <row r="737">
      <c r="A737" s="222"/>
    </row>
    <row r="738">
      <c r="A738" s="222"/>
    </row>
    <row r="739">
      <c r="A739" s="222"/>
    </row>
    <row r="740">
      <c r="A740" s="222"/>
    </row>
    <row r="741">
      <c r="A741" s="222"/>
    </row>
    <row r="742">
      <c r="A742" s="222"/>
    </row>
    <row r="743">
      <c r="A743" s="222"/>
    </row>
    <row r="744">
      <c r="A744" s="222"/>
    </row>
    <row r="745">
      <c r="A745" s="222"/>
    </row>
    <row r="746">
      <c r="A746" s="222"/>
    </row>
    <row r="747">
      <c r="A747" s="222"/>
    </row>
    <row r="748">
      <c r="A748" s="222"/>
    </row>
    <row r="749">
      <c r="A749" s="222"/>
    </row>
    <row r="750">
      <c r="A750" s="222"/>
    </row>
    <row r="751">
      <c r="A751" s="222"/>
    </row>
    <row r="752">
      <c r="A752" s="222"/>
    </row>
    <row r="753">
      <c r="A753" s="222"/>
    </row>
    <row r="754">
      <c r="A754" s="222"/>
    </row>
    <row r="755">
      <c r="A755" s="222"/>
    </row>
    <row r="756">
      <c r="A756" s="222"/>
    </row>
    <row r="757">
      <c r="A757" s="222"/>
    </row>
    <row r="758">
      <c r="A758" s="222"/>
    </row>
    <row r="759">
      <c r="A759" s="222"/>
    </row>
    <row r="760">
      <c r="A760" s="222"/>
    </row>
    <row r="761">
      <c r="A761" s="222"/>
    </row>
    <row r="762">
      <c r="A762" s="222"/>
    </row>
    <row r="763">
      <c r="A763" s="222"/>
    </row>
    <row r="764">
      <c r="A764" s="222"/>
    </row>
    <row r="765">
      <c r="A765" s="222"/>
    </row>
    <row r="766">
      <c r="A766" s="222"/>
    </row>
    <row r="767">
      <c r="A767" s="222"/>
    </row>
    <row r="768">
      <c r="A768" s="222"/>
    </row>
    <row r="769">
      <c r="A769" s="222"/>
    </row>
    <row r="770">
      <c r="A770" s="222"/>
    </row>
    <row r="771">
      <c r="A771" s="222"/>
    </row>
    <row r="772">
      <c r="A772" s="222"/>
    </row>
    <row r="773">
      <c r="A773" s="222"/>
    </row>
    <row r="774">
      <c r="A774" s="222"/>
    </row>
    <row r="775">
      <c r="A775" s="222"/>
    </row>
    <row r="776">
      <c r="A776" s="222"/>
    </row>
    <row r="777">
      <c r="A777" s="222"/>
    </row>
    <row r="778">
      <c r="A778" s="222"/>
    </row>
    <row r="779">
      <c r="A779" s="222"/>
    </row>
    <row r="780">
      <c r="A780" s="222"/>
    </row>
    <row r="781">
      <c r="A781" s="222"/>
    </row>
    <row r="782">
      <c r="A782" s="222"/>
    </row>
    <row r="783">
      <c r="A783" s="222"/>
    </row>
    <row r="784">
      <c r="A784" s="222"/>
    </row>
    <row r="785">
      <c r="A785" s="222"/>
    </row>
    <row r="786">
      <c r="A786" s="222"/>
    </row>
    <row r="787">
      <c r="A787" s="222"/>
    </row>
    <row r="788">
      <c r="A788" s="222"/>
    </row>
    <row r="789">
      <c r="A789" s="222"/>
    </row>
    <row r="790">
      <c r="A790" s="222"/>
    </row>
    <row r="791">
      <c r="A791" s="222"/>
    </row>
    <row r="792">
      <c r="A792" s="222"/>
    </row>
    <row r="793">
      <c r="A793" s="222"/>
    </row>
    <row r="794">
      <c r="A794" s="222"/>
    </row>
    <row r="795">
      <c r="A795" s="222"/>
    </row>
    <row r="796">
      <c r="A796" s="222"/>
    </row>
    <row r="797">
      <c r="A797" s="222"/>
    </row>
    <row r="798">
      <c r="A798" s="222"/>
    </row>
    <row r="799">
      <c r="A799" s="222"/>
    </row>
    <row r="800">
      <c r="A800" s="222"/>
    </row>
    <row r="801">
      <c r="A801" s="222"/>
    </row>
    <row r="802">
      <c r="A802" s="222"/>
    </row>
    <row r="803">
      <c r="A803" s="222"/>
    </row>
    <row r="804">
      <c r="A804" s="222"/>
    </row>
    <row r="805">
      <c r="A805" s="222"/>
    </row>
    <row r="806">
      <c r="A806" s="222"/>
    </row>
    <row r="807">
      <c r="A807" s="222"/>
    </row>
    <row r="808">
      <c r="A808" s="222"/>
    </row>
    <row r="809">
      <c r="A809" s="222"/>
    </row>
    <row r="810">
      <c r="A810" s="222"/>
    </row>
    <row r="811">
      <c r="A811" s="222"/>
    </row>
    <row r="812">
      <c r="A812" s="222"/>
    </row>
    <row r="813">
      <c r="A813" s="222"/>
    </row>
    <row r="814">
      <c r="A814" s="222"/>
    </row>
    <row r="815">
      <c r="A815" s="222"/>
    </row>
    <row r="816">
      <c r="A816" s="222"/>
    </row>
    <row r="817">
      <c r="A817" s="222"/>
    </row>
    <row r="818">
      <c r="A818" s="222"/>
    </row>
    <row r="819">
      <c r="A819" s="222"/>
    </row>
    <row r="820">
      <c r="A820" s="222"/>
    </row>
    <row r="821">
      <c r="A821" s="222"/>
    </row>
    <row r="822">
      <c r="A822" s="222"/>
    </row>
    <row r="823">
      <c r="A823" s="222"/>
    </row>
    <row r="824">
      <c r="A824" s="222"/>
    </row>
    <row r="825">
      <c r="A825" s="222"/>
    </row>
    <row r="826">
      <c r="A826" s="222"/>
    </row>
    <row r="827">
      <c r="A827" s="222"/>
    </row>
    <row r="828">
      <c r="A828" s="222"/>
    </row>
    <row r="829">
      <c r="A829" s="222"/>
    </row>
    <row r="830">
      <c r="A830" s="222"/>
    </row>
    <row r="831">
      <c r="A831" s="222"/>
    </row>
    <row r="832">
      <c r="A832" s="222"/>
    </row>
    <row r="833">
      <c r="A833" s="222"/>
    </row>
    <row r="834">
      <c r="A834" s="222"/>
    </row>
    <row r="835">
      <c r="A835" s="222"/>
    </row>
    <row r="836">
      <c r="A836" s="222"/>
    </row>
    <row r="837">
      <c r="A837" s="222"/>
    </row>
    <row r="838">
      <c r="A838" s="222"/>
    </row>
    <row r="839">
      <c r="A839" s="222"/>
    </row>
    <row r="840">
      <c r="A840" s="222"/>
    </row>
    <row r="841">
      <c r="A841" s="222"/>
    </row>
    <row r="842">
      <c r="A842" s="222"/>
    </row>
    <row r="843">
      <c r="A843" s="222"/>
    </row>
    <row r="844">
      <c r="A844" s="222"/>
    </row>
    <row r="845">
      <c r="A845" s="222"/>
    </row>
    <row r="846">
      <c r="A846" s="222"/>
    </row>
    <row r="847">
      <c r="A847" s="222"/>
    </row>
    <row r="848">
      <c r="A848" s="222"/>
    </row>
    <row r="849">
      <c r="A849" s="222"/>
    </row>
    <row r="850">
      <c r="A850" s="222"/>
    </row>
    <row r="851">
      <c r="A851" s="222"/>
    </row>
    <row r="852">
      <c r="A852" s="222"/>
    </row>
    <row r="853">
      <c r="A853" s="222"/>
    </row>
    <row r="854">
      <c r="A854" s="222"/>
    </row>
    <row r="855">
      <c r="A855" s="222"/>
    </row>
    <row r="856">
      <c r="A856" s="222"/>
    </row>
    <row r="857">
      <c r="A857" s="222"/>
    </row>
    <row r="858">
      <c r="A858" s="222"/>
    </row>
    <row r="859">
      <c r="A859" s="222"/>
    </row>
    <row r="860">
      <c r="A860" s="222"/>
    </row>
    <row r="861">
      <c r="A861" s="222"/>
    </row>
    <row r="862">
      <c r="A862" s="222"/>
    </row>
    <row r="863">
      <c r="A863" s="222"/>
    </row>
    <row r="864">
      <c r="A864" s="222"/>
    </row>
    <row r="865">
      <c r="A865" s="222"/>
    </row>
    <row r="866">
      <c r="A866" s="222"/>
    </row>
    <row r="867">
      <c r="A867" s="222"/>
    </row>
    <row r="868">
      <c r="A868" s="222"/>
    </row>
    <row r="869">
      <c r="A869" s="222"/>
    </row>
    <row r="870">
      <c r="A870" s="222"/>
    </row>
    <row r="871">
      <c r="A871" s="222"/>
    </row>
    <row r="872">
      <c r="A872" s="222"/>
    </row>
    <row r="873">
      <c r="A873" s="222"/>
    </row>
    <row r="874">
      <c r="A874" s="222"/>
    </row>
    <row r="875">
      <c r="A875" s="222"/>
    </row>
    <row r="876">
      <c r="A876" s="222"/>
    </row>
    <row r="877">
      <c r="A877" s="222"/>
    </row>
    <row r="878">
      <c r="A878" s="222"/>
    </row>
    <row r="879">
      <c r="A879" s="222"/>
    </row>
    <row r="880">
      <c r="A880" s="222"/>
    </row>
    <row r="881">
      <c r="A881" s="222"/>
    </row>
    <row r="882">
      <c r="A882" s="222"/>
    </row>
    <row r="883">
      <c r="A883" s="222"/>
    </row>
    <row r="884">
      <c r="A884" s="222"/>
    </row>
    <row r="885">
      <c r="A885" s="222"/>
    </row>
    <row r="886">
      <c r="A886" s="222"/>
    </row>
    <row r="887">
      <c r="A887" s="222"/>
    </row>
    <row r="888">
      <c r="A888" s="222"/>
    </row>
    <row r="889">
      <c r="A889" s="222"/>
    </row>
    <row r="890">
      <c r="A890" s="222"/>
    </row>
    <row r="891">
      <c r="A891" s="222"/>
    </row>
    <row r="892">
      <c r="A892" s="222"/>
    </row>
    <row r="893">
      <c r="A893" s="222"/>
    </row>
    <row r="894">
      <c r="A894" s="222"/>
    </row>
    <row r="895">
      <c r="A895" s="222"/>
    </row>
    <row r="896">
      <c r="A896" s="222"/>
    </row>
    <row r="897">
      <c r="A897" s="222"/>
    </row>
    <row r="898">
      <c r="A898" s="222"/>
    </row>
    <row r="899">
      <c r="A899" s="222"/>
    </row>
    <row r="900">
      <c r="A900" s="222"/>
    </row>
    <row r="901">
      <c r="A901" s="222"/>
    </row>
    <row r="902">
      <c r="A902" s="222"/>
    </row>
    <row r="903">
      <c r="A903" s="222"/>
    </row>
    <row r="904">
      <c r="A904" s="222"/>
    </row>
    <row r="905">
      <c r="A905" s="222"/>
    </row>
    <row r="906">
      <c r="A906" s="222"/>
    </row>
    <row r="907">
      <c r="A907" s="222"/>
    </row>
    <row r="908">
      <c r="A908" s="222"/>
    </row>
    <row r="909">
      <c r="A909" s="222"/>
    </row>
    <row r="910">
      <c r="A910" s="222"/>
    </row>
    <row r="911">
      <c r="A911" s="222"/>
    </row>
    <row r="912">
      <c r="A912" s="222"/>
    </row>
    <row r="913">
      <c r="A913" s="222"/>
    </row>
    <row r="914">
      <c r="A914" s="222"/>
    </row>
    <row r="915">
      <c r="A915" s="222"/>
    </row>
    <row r="916">
      <c r="A916" s="222"/>
    </row>
    <row r="917">
      <c r="A917" s="222"/>
    </row>
    <row r="918">
      <c r="A918" s="222"/>
    </row>
    <row r="919">
      <c r="A919" s="222"/>
    </row>
    <row r="920">
      <c r="A920" s="222"/>
    </row>
    <row r="921">
      <c r="A921" s="222"/>
    </row>
    <row r="922">
      <c r="A922" s="222"/>
    </row>
    <row r="923">
      <c r="A923" s="222"/>
    </row>
    <row r="924">
      <c r="A924" s="222"/>
    </row>
    <row r="925">
      <c r="A925" s="222"/>
    </row>
    <row r="926">
      <c r="A926" s="222"/>
    </row>
    <row r="927">
      <c r="A927" s="222"/>
    </row>
    <row r="928">
      <c r="A928" s="222"/>
    </row>
    <row r="929">
      <c r="A929" s="222"/>
    </row>
    <row r="930">
      <c r="A930" s="222"/>
    </row>
    <row r="931">
      <c r="A931" s="222"/>
    </row>
    <row r="932">
      <c r="A932" s="222"/>
    </row>
    <row r="933">
      <c r="A933" s="222"/>
    </row>
    <row r="934">
      <c r="A934" s="222"/>
    </row>
    <row r="935">
      <c r="A935" s="222"/>
    </row>
    <row r="936">
      <c r="A936" s="222"/>
    </row>
    <row r="937">
      <c r="A937" s="222"/>
    </row>
    <row r="938">
      <c r="A938" s="222"/>
    </row>
    <row r="939">
      <c r="A939" s="222"/>
    </row>
    <row r="940">
      <c r="A940" s="222"/>
    </row>
    <row r="941">
      <c r="A941" s="222"/>
    </row>
    <row r="942">
      <c r="A942" s="222"/>
    </row>
    <row r="943">
      <c r="A943" s="222"/>
    </row>
    <row r="944">
      <c r="A944" s="222"/>
    </row>
    <row r="945">
      <c r="A945" s="222"/>
    </row>
    <row r="946">
      <c r="A946" s="222"/>
    </row>
    <row r="947">
      <c r="A947" s="222"/>
    </row>
    <row r="948">
      <c r="A948" s="222"/>
    </row>
    <row r="949">
      <c r="A949" s="222"/>
    </row>
    <row r="950">
      <c r="A950" s="222"/>
    </row>
    <row r="951">
      <c r="A951" s="222"/>
    </row>
    <row r="952">
      <c r="A952" s="222"/>
    </row>
    <row r="953">
      <c r="A953" s="222"/>
    </row>
    <row r="954">
      <c r="A954" s="222"/>
    </row>
    <row r="955">
      <c r="A955" s="222"/>
    </row>
    <row r="956">
      <c r="A956" s="222"/>
    </row>
    <row r="957">
      <c r="A957" s="222"/>
    </row>
    <row r="958">
      <c r="A958" s="222"/>
    </row>
    <row r="959">
      <c r="A959" s="222"/>
    </row>
    <row r="960">
      <c r="A960" s="222"/>
    </row>
    <row r="961">
      <c r="A961" s="222"/>
    </row>
    <row r="962">
      <c r="A962" s="222"/>
    </row>
    <row r="963">
      <c r="A963" s="222"/>
    </row>
    <row r="964">
      <c r="A964" s="222"/>
    </row>
    <row r="965">
      <c r="A965" s="222"/>
    </row>
    <row r="966">
      <c r="A966" s="222"/>
    </row>
    <row r="967">
      <c r="A967" s="222"/>
    </row>
    <row r="968">
      <c r="A968" s="222"/>
    </row>
    <row r="969">
      <c r="A969" s="222"/>
    </row>
    <row r="970">
      <c r="A970" s="222"/>
    </row>
    <row r="971">
      <c r="A971" s="222"/>
    </row>
    <row r="972">
      <c r="A972" s="222"/>
    </row>
    <row r="973">
      <c r="A973" s="222"/>
    </row>
    <row r="974">
      <c r="A974" s="222"/>
    </row>
    <row r="975">
      <c r="A975" s="222"/>
    </row>
    <row r="976">
      <c r="A976" s="222"/>
    </row>
    <row r="977">
      <c r="A977" s="222"/>
    </row>
    <row r="978">
      <c r="A978" s="222"/>
    </row>
    <row r="979">
      <c r="A979" s="222"/>
    </row>
    <row r="980">
      <c r="A980" s="222"/>
    </row>
    <row r="981">
      <c r="A981" s="222"/>
    </row>
    <row r="982">
      <c r="A982" s="222"/>
    </row>
    <row r="983">
      <c r="A983" s="222"/>
    </row>
    <row r="984">
      <c r="A984" s="222"/>
    </row>
    <row r="985">
      <c r="A985" s="222"/>
    </row>
    <row r="986">
      <c r="A986" s="222"/>
    </row>
    <row r="987">
      <c r="A987" s="222"/>
    </row>
    <row r="988">
      <c r="A988" s="222"/>
    </row>
    <row r="989">
      <c r="A989" s="222"/>
    </row>
    <row r="990">
      <c r="A990" s="222"/>
    </row>
    <row r="991">
      <c r="A991" s="222"/>
    </row>
    <row r="992">
      <c r="A992" s="222"/>
    </row>
    <row r="993">
      <c r="A993" s="222"/>
    </row>
    <row r="994">
      <c r="A994" s="222"/>
    </row>
    <row r="995">
      <c r="A995" s="222"/>
    </row>
    <row r="996">
      <c r="A996" s="222"/>
    </row>
    <row r="997">
      <c r="A997" s="222"/>
    </row>
    <row r="998">
      <c r="A998" s="222"/>
    </row>
    <row r="999">
      <c r="A999" s="222"/>
    </row>
  </sheetData>
  <mergeCells count="4">
    <mergeCell ref="B1:D1"/>
    <mergeCell ref="B5:D5"/>
    <mergeCell ref="B9:D9"/>
    <mergeCell ref="B13:D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7.38"/>
    <col customWidth="1" min="4" max="4" width="14.25"/>
    <col customWidth="1" min="5" max="5" width="15.13"/>
    <col customWidth="1" min="8" max="10" width="14.25"/>
    <col customWidth="1" min="11" max="11" width="14.13"/>
  </cols>
  <sheetData>
    <row r="2">
      <c r="G2" s="29">
        <v>2026.0</v>
      </c>
      <c r="H2" s="7"/>
      <c r="I2" s="7"/>
      <c r="J2" s="7"/>
      <c r="K2" s="7"/>
      <c r="L2" s="8"/>
    </row>
    <row r="3">
      <c r="C3" s="32">
        <v>2026.0</v>
      </c>
      <c r="D3" s="32">
        <v>2027.0</v>
      </c>
      <c r="E3" s="32">
        <v>2028.0</v>
      </c>
      <c r="G3" s="30" t="s">
        <v>714</v>
      </c>
      <c r="H3" s="13">
        <v>1.0</v>
      </c>
      <c r="I3" s="13">
        <v>1.25</v>
      </c>
      <c r="J3" s="13">
        <v>1.5</v>
      </c>
      <c r="K3" s="13">
        <v>1.75</v>
      </c>
      <c r="L3" s="13">
        <v>2.0</v>
      </c>
    </row>
    <row r="4">
      <c r="B4" s="2" t="s">
        <v>715</v>
      </c>
      <c r="C4" s="25">
        <f>'Overview Old'!O7</f>
        <v>26083189.42</v>
      </c>
      <c r="D4" s="120">
        <v>5.0E7</v>
      </c>
      <c r="E4" s="120">
        <v>1.0E8</v>
      </c>
      <c r="G4" s="33">
        <v>0.15</v>
      </c>
      <c r="H4" s="35">
        <f>($C$4*$G$4)-(1*$C$5)</f>
        <v>1793928.262</v>
      </c>
      <c r="I4" s="35">
        <f>($C$4*$G$4)-(1.25*$C$5)</f>
        <v>1264290.724</v>
      </c>
      <c r="J4" s="35">
        <f>($C$4*$G$4)-(1.5*$C$5)</f>
        <v>734653.1862</v>
      </c>
      <c r="K4" s="35">
        <f>($C$4*$G$4)-(1.75*$C$5)</f>
        <v>205015.6482</v>
      </c>
      <c r="L4" s="35">
        <f>($C$4*$G$4)-(2*$C$5)</f>
        <v>-324621.8897</v>
      </c>
    </row>
    <row r="5">
      <c r="B5" s="2" t="s">
        <v>716</v>
      </c>
      <c r="C5" s="25">
        <f>'Overview Old'!N23</f>
        <v>2118550.152</v>
      </c>
      <c r="D5" s="25">
        <f t="shared" ref="D5:E5" si="1">C5*(1+D9)</f>
        <v>4061140.908</v>
      </c>
      <c r="E5" s="25">
        <f t="shared" si="1"/>
        <v>8122281.816</v>
      </c>
      <c r="G5" s="116">
        <v>0.175</v>
      </c>
      <c r="H5" s="35">
        <f>($C$4*$G$5)-(1*$C$5)</f>
        <v>2446007.998</v>
      </c>
      <c r="I5" s="35">
        <f>($C$4*$G$5)-(1.25*$C$5)</f>
        <v>1916370.46</v>
      </c>
      <c r="J5" s="35">
        <f>($C$4*$G$5)-(1.5*$C$5)</f>
        <v>1386732.922</v>
      </c>
      <c r="K5" s="35">
        <f>($C$4*$G$5)-(1.75*$C$5)</f>
        <v>857095.3839</v>
      </c>
      <c r="L5" s="35">
        <f>($C$4*$G$5)-(2*$C$5)</f>
        <v>327457.8459</v>
      </c>
    </row>
    <row r="6">
      <c r="B6" s="2" t="s">
        <v>717</v>
      </c>
      <c r="C6" s="25">
        <f>'Overview Old'!O18</f>
        <v>4594256.194</v>
      </c>
      <c r="D6" s="25"/>
      <c r="E6" s="25"/>
      <c r="G6" s="33">
        <v>0.2</v>
      </c>
      <c r="H6" s="35">
        <f>($C$4*$G$6)-(1*$C$5)</f>
        <v>3098087.733</v>
      </c>
      <c r="I6" s="35">
        <f>($C$4*$G$6)-(1.25*$C$5)</f>
        <v>2568450.195</v>
      </c>
      <c r="J6" s="35">
        <f>($C$4*$G$6)-(1.5*$C$5)</f>
        <v>2038812.657</v>
      </c>
      <c r="K6" s="35">
        <f>($C$4*$G$6)-(1.75*$C$5)</f>
        <v>1509175.119</v>
      </c>
      <c r="L6" s="35">
        <f>($C$4*$G$6)-(2*$C$5)</f>
        <v>979537.5816</v>
      </c>
    </row>
    <row r="7">
      <c r="B7" s="2" t="s">
        <v>718</v>
      </c>
      <c r="C7" s="39">
        <f>C6/C4</f>
        <v>0.1761385895</v>
      </c>
      <c r="D7" s="26"/>
      <c r="E7" s="26"/>
      <c r="G7" s="116">
        <v>0.225</v>
      </c>
      <c r="H7" s="35">
        <f>($C$4*$G$7)-(1*$C$5)</f>
        <v>3750167.469</v>
      </c>
      <c r="I7" s="35">
        <f>($C$4*$G$7)-(1.25*$C$5)</f>
        <v>3220529.931</v>
      </c>
      <c r="J7" s="35">
        <f>($C$4*$G$7)-(1.5*$C$5)</f>
        <v>2690892.393</v>
      </c>
      <c r="K7" s="35">
        <f>($C$4*$G$7)-(1.75*$C$5)</f>
        <v>2161254.855</v>
      </c>
      <c r="L7" s="35">
        <f>($C$4*$G$7)-(2*$C$5)</f>
        <v>1631617.317</v>
      </c>
    </row>
    <row r="8">
      <c r="C8" s="26"/>
      <c r="D8" s="26"/>
      <c r="E8" s="26"/>
      <c r="G8" s="33">
        <v>0.25</v>
      </c>
      <c r="H8" s="35">
        <f>($C$4*$G$8)-(1*$C$5)</f>
        <v>4402247.205</v>
      </c>
      <c r="I8" s="35">
        <f>($C$4*$G$8)-(1.25*$C$5)</f>
        <v>3872609.667</v>
      </c>
      <c r="J8" s="35">
        <f>($C$4*$G$8)-(1.5*$C$5)</f>
        <v>3342972.129</v>
      </c>
      <c r="K8" s="35">
        <f>($C$4*$G$8)-(1.75*$C$5)</f>
        <v>2813334.591</v>
      </c>
      <c r="L8" s="35">
        <f>($C$4*$G$8)-(2*$C$5)</f>
        <v>2283697.053</v>
      </c>
    </row>
    <row r="9">
      <c r="B9" s="2" t="s">
        <v>719</v>
      </c>
      <c r="C9" s="26"/>
      <c r="D9" s="39">
        <f t="shared" ref="D9:E9" si="2">(D4/C4)-1</f>
        <v>0.9169434836</v>
      </c>
      <c r="E9" s="39">
        <f t="shared" si="2"/>
        <v>1</v>
      </c>
    </row>
    <row r="10">
      <c r="C10" s="26"/>
      <c r="D10" s="36"/>
      <c r="E10" s="36"/>
      <c r="G10" s="29">
        <v>2027.0</v>
      </c>
      <c r="H10" s="7"/>
      <c r="I10" s="7"/>
      <c r="J10" s="7"/>
      <c r="K10" s="7"/>
      <c r="L10" s="8"/>
    </row>
    <row r="11">
      <c r="G11" s="30" t="s">
        <v>714</v>
      </c>
      <c r="H11" s="13">
        <v>1.0</v>
      </c>
      <c r="I11" s="13">
        <v>1.25</v>
      </c>
      <c r="J11" s="13">
        <v>1.5</v>
      </c>
      <c r="K11" s="13">
        <v>1.75</v>
      </c>
      <c r="L11" s="13">
        <v>2.0</v>
      </c>
    </row>
    <row r="12">
      <c r="G12" s="33">
        <v>0.15</v>
      </c>
      <c r="H12" s="35">
        <f t="shared" ref="H12:L12" si="3">($D$4*$G$12)-(H11*$D$5)</f>
        <v>3438859.092</v>
      </c>
      <c r="I12" s="35">
        <f t="shared" si="3"/>
        <v>2423573.865</v>
      </c>
      <c r="J12" s="35">
        <f t="shared" si="3"/>
        <v>1408288.638</v>
      </c>
      <c r="K12" s="35">
        <f t="shared" si="3"/>
        <v>393003.4109</v>
      </c>
      <c r="L12" s="35">
        <f t="shared" si="3"/>
        <v>-622281.8161</v>
      </c>
    </row>
    <row r="13">
      <c r="B13" s="29" t="s">
        <v>720</v>
      </c>
      <c r="C13" s="7"/>
      <c r="D13" s="7"/>
      <c r="E13" s="8"/>
      <c r="G13" s="116">
        <v>0.175</v>
      </c>
      <c r="H13" s="35">
        <f t="shared" ref="H13:L13" si="4">($D$4*$G$13)-(H11*$D$5)</f>
        <v>4688859.092</v>
      </c>
      <c r="I13" s="35">
        <f t="shared" si="4"/>
        <v>3673573.865</v>
      </c>
      <c r="J13" s="35">
        <f t="shared" si="4"/>
        <v>2658288.638</v>
      </c>
      <c r="K13" s="35">
        <f t="shared" si="4"/>
        <v>1643003.411</v>
      </c>
      <c r="L13" s="35">
        <f t="shared" si="4"/>
        <v>627718.1839</v>
      </c>
    </row>
    <row r="14">
      <c r="B14" s="13">
        <v>2026.0</v>
      </c>
      <c r="C14" s="13">
        <v>2027.0</v>
      </c>
      <c r="D14" s="13">
        <v>2028.0</v>
      </c>
      <c r="E14" s="13" t="s">
        <v>93</v>
      </c>
      <c r="G14" s="33">
        <v>0.2</v>
      </c>
      <c r="H14" s="35">
        <f t="shared" ref="H14:L14" si="5">($D$4*$G$14)-(H11*$D$5)</f>
        <v>5938859.092</v>
      </c>
      <c r="I14" s="35">
        <f t="shared" si="5"/>
        <v>4923573.865</v>
      </c>
      <c r="J14" s="35">
        <f t="shared" si="5"/>
        <v>3908288.638</v>
      </c>
      <c r="K14" s="35">
        <f t="shared" si="5"/>
        <v>2893003.411</v>
      </c>
      <c r="L14" s="35">
        <f t="shared" si="5"/>
        <v>1877718.184</v>
      </c>
    </row>
    <row r="15">
      <c r="B15" s="35">
        <f>J6</f>
        <v>2038812.657</v>
      </c>
      <c r="C15" s="35">
        <f>J14</f>
        <v>3908288.638</v>
      </c>
      <c r="D15" s="35">
        <f>J22</f>
        <v>7816577.276</v>
      </c>
      <c r="E15" s="35">
        <f>SUM(B15:D15)</f>
        <v>13763678.57</v>
      </c>
      <c r="G15" s="116">
        <v>0.225</v>
      </c>
      <c r="H15" s="35">
        <f t="shared" ref="H15:L15" si="6">($D$4*$G$15)-(H11*$D$5)</f>
        <v>7188859.092</v>
      </c>
      <c r="I15" s="35">
        <f t="shared" si="6"/>
        <v>6173573.865</v>
      </c>
      <c r="J15" s="35">
        <f t="shared" si="6"/>
        <v>5158288.638</v>
      </c>
      <c r="K15" s="35">
        <f t="shared" si="6"/>
        <v>4143003.411</v>
      </c>
      <c r="L15" s="35">
        <f t="shared" si="6"/>
        <v>3127718.184</v>
      </c>
    </row>
    <row r="16">
      <c r="G16" s="33">
        <v>0.25</v>
      </c>
      <c r="H16" s="35">
        <f t="shared" ref="H16:L16" si="7">($D$4*$G$16)-(H11*$D$5)</f>
        <v>8438859.092</v>
      </c>
      <c r="I16" s="35">
        <f t="shared" si="7"/>
        <v>7423573.865</v>
      </c>
      <c r="J16" s="35">
        <f t="shared" si="7"/>
        <v>6408288.638</v>
      </c>
      <c r="K16" s="35">
        <f t="shared" si="7"/>
        <v>5393003.411</v>
      </c>
      <c r="L16" s="35">
        <f t="shared" si="7"/>
        <v>4377718.184</v>
      </c>
    </row>
    <row r="18">
      <c r="G18" s="29">
        <v>2028.0</v>
      </c>
      <c r="H18" s="7"/>
      <c r="I18" s="7"/>
      <c r="J18" s="7"/>
      <c r="K18" s="7"/>
      <c r="L18" s="8"/>
    </row>
    <row r="19">
      <c r="G19" s="30" t="s">
        <v>714</v>
      </c>
      <c r="H19" s="13">
        <v>1.0</v>
      </c>
      <c r="I19" s="13">
        <v>1.25</v>
      </c>
      <c r="J19" s="13">
        <v>1.5</v>
      </c>
      <c r="K19" s="13">
        <v>1.75</v>
      </c>
      <c r="L19" s="13">
        <v>2.0</v>
      </c>
    </row>
    <row r="20">
      <c r="G20" s="33">
        <v>0.15</v>
      </c>
      <c r="H20" s="35">
        <f t="shared" ref="H20:L20" si="8">($E$4*$G$20)-(H19*$E$5)</f>
        <v>6877718.184</v>
      </c>
      <c r="I20" s="35">
        <f t="shared" si="8"/>
        <v>4847147.73</v>
      </c>
      <c r="J20" s="35">
        <f t="shared" si="8"/>
        <v>2816577.276</v>
      </c>
      <c r="K20" s="35">
        <f t="shared" si="8"/>
        <v>786006.8219</v>
      </c>
      <c r="L20" s="35">
        <f t="shared" si="8"/>
        <v>-1244563.632</v>
      </c>
    </row>
    <row r="21">
      <c r="G21" s="116">
        <v>0.175</v>
      </c>
      <c r="H21" s="35">
        <f t="shared" ref="H21:L21" si="9">($E$4*$G$21)-(H19*$E$5)</f>
        <v>9377718.184</v>
      </c>
      <c r="I21" s="35">
        <f t="shared" si="9"/>
        <v>7347147.73</v>
      </c>
      <c r="J21" s="35">
        <f t="shared" si="9"/>
        <v>5316577.276</v>
      </c>
      <c r="K21" s="35">
        <f t="shared" si="9"/>
        <v>3286006.822</v>
      </c>
      <c r="L21" s="35">
        <f t="shared" si="9"/>
        <v>1255436.368</v>
      </c>
    </row>
    <row r="22">
      <c r="G22" s="33">
        <v>0.2</v>
      </c>
      <c r="H22" s="35">
        <f t="shared" ref="H22:L22" si="10">($E$4*$G$22)-(H19*$E$5)</f>
        <v>11877718.18</v>
      </c>
      <c r="I22" s="35">
        <f t="shared" si="10"/>
        <v>9847147.73</v>
      </c>
      <c r="J22" s="35">
        <f t="shared" si="10"/>
        <v>7816577.276</v>
      </c>
      <c r="K22" s="35">
        <f t="shared" si="10"/>
        <v>5786006.822</v>
      </c>
      <c r="L22" s="35">
        <f t="shared" si="10"/>
        <v>3755436.368</v>
      </c>
    </row>
    <row r="23">
      <c r="G23" s="116">
        <v>0.225</v>
      </c>
      <c r="H23" s="35">
        <f t="shared" ref="H23:L23" si="11">($E$4*$G$23)-(H19*$E$5)</f>
        <v>14377718.18</v>
      </c>
      <c r="I23" s="35">
        <f t="shared" si="11"/>
        <v>12347147.73</v>
      </c>
      <c r="J23" s="35">
        <f t="shared" si="11"/>
        <v>10316577.28</v>
      </c>
      <c r="K23" s="35">
        <f t="shared" si="11"/>
        <v>8286006.822</v>
      </c>
      <c r="L23" s="35">
        <f t="shared" si="11"/>
        <v>6255436.368</v>
      </c>
    </row>
    <row r="24">
      <c r="G24" s="33">
        <v>0.25</v>
      </c>
      <c r="H24" s="35">
        <f t="shared" ref="H24:L24" si="12">($E$4*$G$24)-(H19*$E$5)</f>
        <v>16877718.18</v>
      </c>
      <c r="I24" s="35">
        <f t="shared" si="12"/>
        <v>14847147.73</v>
      </c>
      <c r="J24" s="35">
        <f t="shared" si="12"/>
        <v>12816577.28</v>
      </c>
      <c r="K24" s="35">
        <f t="shared" si="12"/>
        <v>10786006.82</v>
      </c>
      <c r="L24" s="35">
        <f t="shared" si="12"/>
        <v>8755436.368</v>
      </c>
    </row>
  </sheetData>
  <mergeCells count="4">
    <mergeCell ref="G2:L2"/>
    <mergeCell ref="G10:L10"/>
    <mergeCell ref="B13:E13"/>
    <mergeCell ref="G18:L18"/>
  </mergeCells>
  <conditionalFormatting sqref="H4:L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2:L16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20:L2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