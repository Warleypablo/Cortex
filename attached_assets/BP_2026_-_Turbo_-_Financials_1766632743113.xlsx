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ações" sheetId="1" r:id="rId4"/>
    <sheet state="visible" name="Overview" sheetId="2" r:id="rId5"/>
    <sheet state="visible" name="SG&amp;A" sheetId="3" r:id="rId6"/>
    <sheet state="visible" name="CSV" sheetId="4" r:id="rId7"/>
    <sheet state="visible" name="CAC" sheetId="5" r:id="rId8"/>
    <sheet state="visible" name="Revenue" sheetId="6" r:id="rId9"/>
    <sheet state="visible" name="CAPEX e Giro" sheetId="7" r:id="rId10"/>
    <sheet state="visible" name="Tributário" sheetId="8" r:id="rId11"/>
    <sheet state="visible" name="Turbooh" sheetId="9" r:id="rId12"/>
    <sheet state="visible" name="Outras Receitas" sheetId="10" r:id="rId13"/>
    <sheet state="visible" name="Eventos" sheetId="11" r:id="rId14"/>
    <sheet state="hidden" name="nao mexer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0">
      <text>
        <t xml:space="preserve">fonte hub
	-Rodrigo Queiroz</t>
      </text>
    </comment>
    <comment authorId="0" ref="B37">
      <text>
        <t xml:space="preserve">financeiro
	-Rodrigo Queiroz</t>
      </text>
    </comment>
    <comment authorId="0" ref="B36">
      <text>
        <t xml:space="preserve">Novo
	-Victor Peixoto</t>
      </text>
    </comment>
    <comment authorId="0" ref="B49">
      <text>
        <t xml:space="preserve">Gastamos hj 5k
	-Victor Peixoto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44">
      <text>
        <t xml:space="preserve">Ja gastamos uns 10k em média (antes estava bookado 5k)
	-Victor Peixoto</t>
      </text>
    </comment>
    <comment authorId="0" ref="C345">
      <text>
        <t xml:space="preserve">Ja pagamos uns 20k em média
	-Victor Peixoto</t>
      </text>
    </comment>
  </commentList>
</comments>
</file>

<file path=xl/sharedStrings.xml><?xml version="1.0" encoding="utf-8"?>
<sst xmlns="http://schemas.openxmlformats.org/spreadsheetml/2006/main" count="1522" uniqueCount="565">
  <si>
    <t>Documento auxiliar</t>
  </si>
  <si>
    <t>https://docs.google.com/document/d/1Bd9xdiEdrcTYg6vKJGJvyknFmdaPA3eUgVTLtH2r8Kg/edit?tab=t.0</t>
  </si>
  <si>
    <t>Definir quais eventos externos (CAC)</t>
  </si>
  <si>
    <t>Ações internas (eventos colaborador SG&amp;A)</t>
  </si>
  <si>
    <t>Definir quais eventos</t>
  </si>
  <si>
    <t>Quais ferramentas precisamos desenvolver</t>
  </si>
  <si>
    <t>Produtos&amp;Serviços gerais</t>
  </si>
  <si>
    <t>Conselho Consultivo</t>
  </si>
  <si>
    <t>Quais pessoas (Dudu, Omar, Simone?, Patrick?, Marcus Buaiz?, Angelo?, Fere?, Ulisses?, ), o que esperamos, qual remuneracao (% baixo ou pagar(quanto?)) , área (marketing, tech), qual frequencia (mensal/trimestral) etc</t>
  </si>
  <si>
    <t>TurbOOH</t>
  </si>
  <si>
    <t xml:space="preserve">CAPEX infinito, Payback esperado 4 meses, </t>
  </si>
  <si>
    <t>Deal com Agazeta</t>
  </si>
  <si>
    <t>Hugz</t>
  </si>
  <si>
    <t>Partnership de ações (tentar definir)</t>
  </si>
  <si>
    <t>Marketing de Rochas</t>
  </si>
  <si>
    <t>Distribuição</t>
  </si>
  <si>
    <t>Logo Chrun</t>
  </si>
  <si>
    <t>Chrun Receita</t>
  </si>
  <si>
    <t>NRR ou Net Churn</t>
  </si>
  <si>
    <t>Receita adicionada não ta sendo quebrada em nova e monetização (da bse)</t>
  </si>
  <si>
    <t>Participacoes em outras empresas e ventures</t>
  </si>
  <si>
    <t>Capex outras iniciativas</t>
  </si>
  <si>
    <t>Fazer painel de iniciativas e Projetos</t>
  </si>
  <si>
    <t>Fechar OKR Trimestre e KPIs de acompanhamento</t>
  </si>
  <si>
    <t>Deal com Maely</t>
  </si>
  <si>
    <t>Aporte Dudu</t>
  </si>
  <si>
    <t>Premiações</t>
  </si>
  <si>
    <t>Final do Ano</t>
  </si>
  <si>
    <t>70% Spot (6 meses)</t>
  </si>
  <si>
    <t>30% Premiação</t>
  </si>
  <si>
    <t>Semestral (Julho)</t>
  </si>
  <si>
    <t>10-20 pessoas</t>
  </si>
  <si>
    <t>6 meses</t>
  </si>
  <si>
    <t>Mensal</t>
  </si>
  <si>
    <t>Caju turbinado</t>
  </si>
  <si>
    <t>cafe da manha</t>
  </si>
  <si>
    <t>almoco equipe etc</t>
  </si>
  <si>
    <t xml:space="preserve">Distribuição = Caixa inicial + Geração de Caixa periodo - SALDO MINIMO CAIXA </t>
  </si>
  <si>
    <t>Comites:</t>
  </si>
  <si>
    <t>Produto*</t>
  </si>
  <si>
    <t>Gente e Gestao</t>
  </si>
  <si>
    <t>Financeiro</t>
  </si>
  <si>
    <t>Vendas</t>
  </si>
  <si>
    <t>Content</t>
  </si>
  <si>
    <t>Trimestre</t>
  </si>
  <si>
    <t>1 Trimestre</t>
  </si>
  <si>
    <t>2 Trimestre</t>
  </si>
  <si>
    <t>3 Trimestre</t>
  </si>
  <si>
    <t>4 Trimestre</t>
  </si>
  <si>
    <t>Mês</t>
  </si>
  <si>
    <t>Janeiro</t>
  </si>
  <si>
    <t>Feveiro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</si>
  <si>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</si>
  <si>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</si>
  <si>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</si>
  <si>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</si>
  <si>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</si>
  <si>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</si>
  <si>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</si>
  <si>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</si>
  <si>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</si>
  <si>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</si>
  <si>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</si>
  <si>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Inadimpência</t>
  </si>
  <si>
    <t>(+) MRR Ativo</t>
  </si>
  <si>
    <t>(+) Receita Pontual</t>
  </si>
  <si>
    <t>(+) Outras Receitas</t>
  </si>
  <si>
    <t>(=) Receita Total Faturavel</t>
  </si>
  <si>
    <t>(-) Inadimplência</t>
  </si>
  <si>
    <t>(-) Impostos Sob Receita</t>
  </si>
  <si>
    <t>(=) Receita Líquida</t>
  </si>
  <si>
    <t>(-) CSV</t>
  </si>
  <si>
    <t>(=) Lucro Bruto</t>
  </si>
  <si>
    <t>(-) CAC</t>
  </si>
  <si>
    <t>(-) SG&amp;A</t>
  </si>
  <si>
    <t>(=) EBITDA</t>
  </si>
  <si>
    <t>(-) IR + CSLL</t>
  </si>
  <si>
    <t>(-) CAPEX</t>
  </si>
  <si>
    <t>(=) Geração de Caixa</t>
  </si>
  <si>
    <t>(%) Margem Geração</t>
  </si>
  <si>
    <t>Métricas Gerais</t>
  </si>
  <si>
    <t>Receita Total</t>
  </si>
  <si>
    <t>Despesa Total</t>
  </si>
  <si>
    <t>Vendas MRR</t>
  </si>
  <si>
    <t>Vendas Pontual</t>
  </si>
  <si>
    <t>Numero de Colaboradores</t>
  </si>
  <si>
    <t>Receita Cabeça</t>
  </si>
  <si>
    <t>MRR Cabeça</t>
  </si>
  <si>
    <t>Numero de Clientes</t>
  </si>
  <si>
    <t>Numero de Contratos</t>
  </si>
  <si>
    <t>Ticket Medio Cliente</t>
  </si>
  <si>
    <t>Ticket Medio Contratos</t>
  </si>
  <si>
    <t>Churn Mês</t>
  </si>
  <si>
    <t>Aliquota Imposto Efetiva</t>
  </si>
  <si>
    <t>Geracao de caixa</t>
  </si>
  <si>
    <t>Margem de geração</t>
  </si>
  <si>
    <t>Saldo de Caixa</t>
  </si>
  <si>
    <t>Pessoas em CSV</t>
  </si>
  <si>
    <t>Pessoas em CAC</t>
  </si>
  <si>
    <t>Pessoas em SGEA</t>
  </si>
  <si>
    <t>CSV</t>
  </si>
  <si>
    <t>Pessoas Totais Commerce (CSV)</t>
  </si>
  <si>
    <t xml:space="preserve">(=) SG&amp;A </t>
  </si>
  <si>
    <t>(-) UZK</t>
  </si>
  <si>
    <t>(-) Backoffice</t>
  </si>
  <si>
    <t>(-) Software</t>
  </si>
  <si>
    <t>(-) Ocupação</t>
  </si>
  <si>
    <t>(-) Beneficio Caju</t>
  </si>
  <si>
    <t>(-) Premiações</t>
  </si>
  <si>
    <t>(-) Eventos e Brindes Internos</t>
  </si>
  <si>
    <t>(-) Outras despesas</t>
  </si>
  <si>
    <t>UZK</t>
  </si>
  <si>
    <t>(=) UZK</t>
  </si>
  <si>
    <t>(-) Victor Peixoto</t>
  </si>
  <si>
    <t>(-) Rodrigo Queiroz</t>
  </si>
  <si>
    <t>(-) André Musso</t>
  </si>
  <si>
    <t>Backoffice</t>
  </si>
  <si>
    <t>(=) Backoffice</t>
  </si>
  <si>
    <t>(-) Marlon Carneiro</t>
  </si>
  <si>
    <t>(-) Warley Pablo</t>
  </si>
  <si>
    <t>(-) Eduardo Tonane</t>
  </si>
  <si>
    <t>(-) Karol Tognere</t>
  </si>
  <si>
    <t>(-) Lianca Lopes</t>
  </si>
  <si>
    <t>(-) Caio Massaroni</t>
  </si>
  <si>
    <t>(-) Thiago Folador</t>
  </si>
  <si>
    <t>(-) Julia Viana</t>
  </si>
  <si>
    <t>(-) Marcelus</t>
  </si>
  <si>
    <t>Nova contratação 5</t>
  </si>
  <si>
    <t>Software</t>
  </si>
  <si>
    <t>(=) Software</t>
  </si>
  <si>
    <t>GohighLevel</t>
  </si>
  <si>
    <t>Adobe</t>
  </si>
  <si>
    <t>Software Comercial</t>
  </si>
  <si>
    <t>Safetec</t>
  </si>
  <si>
    <t>Webflow</t>
  </si>
  <si>
    <t>Conta Azul</t>
  </si>
  <si>
    <t>Replit e AI Gerais</t>
  </si>
  <si>
    <t>Bitrix</t>
  </si>
  <si>
    <t>Clickup</t>
  </si>
  <si>
    <t>Outros</t>
  </si>
  <si>
    <t>Ocupação</t>
  </si>
  <si>
    <t>(=) Ocupação</t>
  </si>
  <si>
    <t>Telefonia/Internet</t>
  </si>
  <si>
    <t>Energia/Agua/IPTU</t>
  </si>
  <si>
    <t>Aluguel/Condominio</t>
  </si>
  <si>
    <t>Expediente/Limpeza/Outros</t>
  </si>
  <si>
    <t>Obras Escritorio</t>
  </si>
  <si>
    <t>Outras Despesas</t>
  </si>
  <si>
    <t>(=) Outras Despesas</t>
  </si>
  <si>
    <t>Tarifas/Taxas</t>
  </si>
  <si>
    <t>Outras Desp Adm.</t>
  </si>
  <si>
    <t>Contabilidade</t>
  </si>
  <si>
    <t>Juridico</t>
  </si>
  <si>
    <t>Consultoria Contabil</t>
  </si>
  <si>
    <t>Commerce</t>
  </si>
  <si>
    <t>CSV Total</t>
  </si>
  <si>
    <t>Quantidade de operadores</t>
  </si>
  <si>
    <t>Quantidade de Líderes</t>
  </si>
  <si>
    <t>Performance</t>
  </si>
  <si>
    <t>MRR Performance</t>
  </si>
  <si>
    <t>Contratos Performance</t>
  </si>
  <si>
    <t>Capacity Contratos</t>
  </si>
  <si>
    <t>Operadores Necessários</t>
  </si>
  <si>
    <t>Operadores Atuais</t>
  </si>
  <si>
    <t>Necessidade de contratar</t>
  </si>
  <si>
    <t>Contratos por gestor</t>
  </si>
  <si>
    <t>MRR por Gestor</t>
  </si>
  <si>
    <t>Gestor de Performance</t>
  </si>
  <si>
    <t>(=) Gestor de Performance</t>
  </si>
  <si>
    <t>(-) Gabriel Taufner</t>
  </si>
  <si>
    <t>(-) Allan Eduardo</t>
  </si>
  <si>
    <t>(-) Victor Matsushita</t>
  </si>
  <si>
    <t>(-) Gustavo Pires</t>
  </si>
  <si>
    <t>(-) Rayan Coutinho</t>
  </si>
  <si>
    <t>(-) Rafael Avila</t>
  </si>
  <si>
    <t>(-) Thiago Martins</t>
  </si>
  <si>
    <t>(-) Lucas Rosseti</t>
  </si>
  <si>
    <t>(-) Thiago Andrey</t>
  </si>
  <si>
    <t>(-) Victor Arpini</t>
  </si>
  <si>
    <t>(-) Bruno Parreira</t>
  </si>
  <si>
    <t>(-) Jônatas Cavalcante</t>
  </si>
  <si>
    <t>(-) Jordnei Gadelha</t>
  </si>
  <si>
    <t>(-) Renan Fortunato</t>
  </si>
  <si>
    <t>(-) Weverton</t>
  </si>
  <si>
    <t>Novo</t>
  </si>
  <si>
    <t>Designer Performance</t>
  </si>
  <si>
    <t>Capacity</t>
  </si>
  <si>
    <t>Designers Necessários</t>
  </si>
  <si>
    <t>Designers Atuais</t>
  </si>
  <si>
    <t>Contas por Designer</t>
  </si>
  <si>
    <t>(=) Designer Performance</t>
  </si>
  <si>
    <t>Wendel Martins de Azevedo</t>
  </si>
  <si>
    <t>George Lucas</t>
  </si>
  <si>
    <t>Anna Rauta</t>
  </si>
  <si>
    <t>Leonardo Soares</t>
  </si>
  <si>
    <t>Rayanne Vieira</t>
  </si>
  <si>
    <t xml:space="preserve">Bernardo </t>
  </si>
  <si>
    <t>João Lucas</t>
  </si>
  <si>
    <t>Elizio</t>
  </si>
  <si>
    <t>Contratar 3</t>
  </si>
  <si>
    <t>Contratar 4</t>
  </si>
  <si>
    <t>Contratar 5</t>
  </si>
  <si>
    <t>Contratar 6</t>
  </si>
  <si>
    <t>Contratar 7</t>
  </si>
  <si>
    <t>Contratar 8</t>
  </si>
  <si>
    <t>Contratar 9</t>
  </si>
  <si>
    <t>Contratar 10</t>
  </si>
  <si>
    <t>Creators</t>
  </si>
  <si>
    <t>MRR Creators</t>
  </si>
  <si>
    <t>Contratos Creators</t>
  </si>
  <si>
    <t>Contas por Analista</t>
  </si>
  <si>
    <t>MRR por Analista</t>
  </si>
  <si>
    <t>Analista de Creators</t>
  </si>
  <si>
    <t>(=) Analista de Creators</t>
  </si>
  <si>
    <t>Debora Mund</t>
  </si>
  <si>
    <t>Ana Lello</t>
  </si>
  <si>
    <t>Lara Grobério Miranda Carlos</t>
  </si>
  <si>
    <t>Raquel</t>
  </si>
  <si>
    <t>Mariana</t>
  </si>
  <si>
    <r>
      <rPr>
        <rFont val="Arial"/>
        <color theme="1"/>
      </rPr>
      <t>Geiziele (</t>
    </r>
    <r>
      <rPr>
        <rFont val="Arial"/>
        <i/>
        <color theme="1"/>
      </rPr>
      <t>estagiária</t>
    </r>
    <r>
      <rPr>
        <rFont val="Arial"/>
        <color theme="1"/>
      </rPr>
      <t>)</t>
    </r>
  </si>
  <si>
    <t>Designer Creators</t>
  </si>
  <si>
    <t>(=) Designer Creators</t>
  </si>
  <si>
    <t>Matheus Glendel de Azevedo</t>
  </si>
  <si>
    <t>Laura Gonzaga</t>
  </si>
  <si>
    <t>Gabriela Vasconcelos</t>
  </si>
  <si>
    <t xml:space="preserve">Lara </t>
  </si>
  <si>
    <t>Social</t>
  </si>
  <si>
    <t>MRR Social</t>
  </si>
  <si>
    <t>Contratos Social</t>
  </si>
  <si>
    <t>Analista de Comunicação</t>
  </si>
  <si>
    <t>(=) Analista de Comunicação</t>
  </si>
  <si>
    <t>Julia Manhaes</t>
  </si>
  <si>
    <t>Livia Oliveira</t>
  </si>
  <si>
    <t>Maria Alice</t>
  </si>
  <si>
    <t>Victor Klein</t>
  </si>
  <si>
    <r>
      <rPr>
        <rFont val="Arial"/>
        <color theme="1"/>
      </rPr>
      <t>Laura (</t>
    </r>
    <r>
      <rPr>
        <rFont val="Arial"/>
        <i/>
        <color theme="1"/>
      </rPr>
      <t>estagiária</t>
    </r>
    <r>
      <rPr>
        <rFont val="Arial"/>
        <color theme="1"/>
      </rPr>
      <t>)</t>
    </r>
  </si>
  <si>
    <t>Fernada Almeida</t>
  </si>
  <si>
    <t>Brenda Federici</t>
  </si>
  <si>
    <t>Designer Social</t>
  </si>
  <si>
    <t>(=) Designer Social</t>
  </si>
  <si>
    <t>Francisco Lopes</t>
  </si>
  <si>
    <t>Gabriela Teixeira</t>
  </si>
  <si>
    <t>Pietro Rutigliano Júnior</t>
  </si>
  <si>
    <t>Milena Gomes</t>
  </si>
  <si>
    <t>Bruno Franco</t>
  </si>
  <si>
    <t>Contratar 1</t>
  </si>
  <si>
    <t>Contratar 2</t>
  </si>
  <si>
    <t>Gestão de Comunidade</t>
  </si>
  <si>
    <t>MRR Gestão de Comunidade</t>
  </si>
  <si>
    <t>Contratos Gestão de Comunidade</t>
  </si>
  <si>
    <t>Gestor de Comunidade</t>
  </si>
  <si>
    <t>(=) Gestor de Comunidade</t>
  </si>
  <si>
    <t>Contratar 0</t>
  </si>
  <si>
    <t>Others</t>
  </si>
  <si>
    <t>MRR Others</t>
  </si>
  <si>
    <t>Contratos Others</t>
  </si>
  <si>
    <t>Contas por Operador</t>
  </si>
  <si>
    <t>MRR por ?</t>
  </si>
  <si>
    <t>Gestor de Others</t>
  </si>
  <si>
    <t>(=) Gestor de Others</t>
  </si>
  <si>
    <t>Contratar 11</t>
  </si>
  <si>
    <t>Contratar 12</t>
  </si>
  <si>
    <t>Contratar 13</t>
  </si>
  <si>
    <t>Contratar 14</t>
  </si>
  <si>
    <t>Contratar 15</t>
  </si>
  <si>
    <t>CXCS</t>
  </si>
  <si>
    <t>Contratos Totais</t>
  </si>
  <si>
    <t>CXCS Necessários</t>
  </si>
  <si>
    <t>CXCS Atuais</t>
  </si>
  <si>
    <t>Contratos por CXCS</t>
  </si>
  <si>
    <t>(=) CXCS</t>
  </si>
  <si>
    <t>(-) Maria Midyan</t>
  </si>
  <si>
    <t>(-) Aline Carvalho</t>
  </si>
  <si>
    <t>(-) Kamila Marins</t>
  </si>
  <si>
    <t>(-) Lucas Emanoel</t>
  </si>
  <si>
    <t>Nova contratação 0</t>
  </si>
  <si>
    <t>Nova contratação 1</t>
  </si>
  <si>
    <t>Nova contratação 2</t>
  </si>
  <si>
    <t>Nova contratação 3</t>
  </si>
  <si>
    <t>Nova contratação 4</t>
  </si>
  <si>
    <t>Líderes</t>
  </si>
  <si>
    <t>Operadores Totais</t>
  </si>
  <si>
    <t>Operadores por líder</t>
  </si>
  <si>
    <t>Líderes necessários</t>
  </si>
  <si>
    <t>Líderes a contratar</t>
  </si>
  <si>
    <t>(=) Líderes</t>
  </si>
  <si>
    <t>7k - 6 meses</t>
  </si>
  <si>
    <t>(-) Pedro Paulo</t>
  </si>
  <si>
    <t>7k  - 3 meses</t>
  </si>
  <si>
    <t>(-) Rodrigo Padrão</t>
  </si>
  <si>
    <t>7,5k - 3 meses</t>
  </si>
  <si>
    <t>(-) Glauber Pereira</t>
  </si>
  <si>
    <t>8k - 8 meses</t>
  </si>
  <si>
    <t>(-) Rafael Vilela</t>
  </si>
  <si>
    <t>8k - 2 meses</t>
  </si>
  <si>
    <t>(-) Roberto Fachetti</t>
  </si>
  <si>
    <t>7,5k - 1 mes</t>
  </si>
  <si>
    <t>(-) Ismael</t>
  </si>
  <si>
    <t>Tech</t>
  </si>
  <si>
    <t>Pessoas totais</t>
  </si>
  <si>
    <t>Estoque atual</t>
  </si>
  <si>
    <t>Vendas 2026</t>
  </si>
  <si>
    <t>Venda Dez</t>
  </si>
  <si>
    <t>Entrega Dez</t>
  </si>
  <si>
    <t>Valor Projetos entregues</t>
  </si>
  <si>
    <t>Número de Projetos</t>
  </si>
  <si>
    <t>Margem de contribuição</t>
  </si>
  <si>
    <t>CSV Tech</t>
  </si>
  <si>
    <t>(=) Tech</t>
  </si>
  <si>
    <t xml:space="preserve">Breno Carmo </t>
  </si>
  <si>
    <t>Vinicius</t>
  </si>
  <si>
    <t>Hiuri Carrico</t>
  </si>
  <si>
    <t>Bibiana Chaves</t>
  </si>
  <si>
    <t>Thiago Kenzo</t>
  </si>
  <si>
    <t>Andre Seder</t>
  </si>
  <si>
    <t>Helama</t>
  </si>
  <si>
    <t>Davi Ferraz</t>
  </si>
  <si>
    <t>Matheus Pin</t>
  </si>
  <si>
    <t>Daiani Silva Vieira</t>
  </si>
  <si>
    <t>Wendeson Eduardo Diniz</t>
  </si>
  <si>
    <t>Matheus Dev</t>
  </si>
  <si>
    <t>Nova contratação 2 (Dev)</t>
  </si>
  <si>
    <t>Nova contratação 3 (Dev)</t>
  </si>
  <si>
    <t>Nova contratação 4 (UIUX)</t>
  </si>
  <si>
    <t>Mão de Obra Terceirizada</t>
  </si>
  <si>
    <t>(=) Mão de Obra Tercerizada</t>
  </si>
  <si>
    <t>Freelancers Projetos Tech</t>
  </si>
  <si>
    <t>Freelancers Design</t>
  </si>
  <si>
    <t>Freelancers Creators</t>
  </si>
  <si>
    <t>CAC</t>
  </si>
  <si>
    <t>Aquisition Recorrente</t>
  </si>
  <si>
    <t>(=) CAC</t>
  </si>
  <si>
    <t>Meta de Vendas MRR</t>
  </si>
  <si>
    <t>(-) Pré Vendas</t>
  </si>
  <si>
    <t>% Performance</t>
  </si>
  <si>
    <t>(-) Vendas</t>
  </si>
  <si>
    <t>(-) Gerencia</t>
  </si>
  <si>
    <t>AOV Performance</t>
  </si>
  <si>
    <t>(-) Comissões</t>
  </si>
  <si>
    <t>(-) Growth</t>
  </si>
  <si>
    <t>(-) ADs</t>
  </si>
  <si>
    <t>% Creators</t>
  </si>
  <si>
    <t>(-) Eventos</t>
  </si>
  <si>
    <t>(-) Brindes</t>
  </si>
  <si>
    <t>AOV Creators</t>
  </si>
  <si>
    <t>(-) Viagens</t>
  </si>
  <si>
    <t>PRÉ VENDAS</t>
  </si>
  <si>
    <t>% Social</t>
  </si>
  <si>
    <t>AOV Social</t>
  </si>
  <si>
    <t>(=) Pré Vendas</t>
  </si>
  <si>
    <t>Guilherme Cassemiro</t>
  </si>
  <si>
    <t>Lenize Pretti</t>
  </si>
  <si>
    <t>% Gestão de Comunidade</t>
  </si>
  <si>
    <t>Eduarda Grippa</t>
  </si>
  <si>
    <t>Kaike</t>
  </si>
  <si>
    <t>AOV Gestão de Comunidade</t>
  </si>
  <si>
    <t>Isabella</t>
  </si>
  <si>
    <t>Fabiely</t>
  </si>
  <si>
    <t>Alanna Oliveira</t>
  </si>
  <si>
    <t>% Others</t>
  </si>
  <si>
    <t>AOV Others</t>
  </si>
  <si>
    <t>Aquisition Pontual</t>
  </si>
  <si>
    <t>Nova contratação 6</t>
  </si>
  <si>
    <t>Nova contratação 7 (backup turnover)</t>
  </si>
  <si>
    <t>Meta de Vendas Pontual</t>
  </si>
  <si>
    <t>Nova contratação 8 (backup turnover)</t>
  </si>
  <si>
    <t>% E-commerce</t>
  </si>
  <si>
    <t>Nova contratação 9</t>
  </si>
  <si>
    <t>Pontual e-commerce</t>
  </si>
  <si>
    <t>Nova contratação 10</t>
  </si>
  <si>
    <t>AOV E-commerce</t>
  </si>
  <si>
    <t>Contratos E-commerce</t>
  </si>
  <si>
    <t>% Site Institucional</t>
  </si>
  <si>
    <t>Pontual Site</t>
  </si>
  <si>
    <t>(=) Vendas</t>
  </si>
  <si>
    <t>AOV Site</t>
  </si>
  <si>
    <t>Arthur Zon</t>
  </si>
  <si>
    <t>Contratos Site</t>
  </si>
  <si>
    <t>Daniel Pato</t>
  </si>
  <si>
    <t>Matheus Scalfoni</t>
  </si>
  <si>
    <t>% Landing Page</t>
  </si>
  <si>
    <t>Yan Roldi</t>
  </si>
  <si>
    <t>Pontual Landing Page</t>
  </si>
  <si>
    <t>Arhur Machado</t>
  </si>
  <si>
    <t>AOV Landing Page</t>
  </si>
  <si>
    <t>Fabio Richard</t>
  </si>
  <si>
    <t>Contratos Landing Page</t>
  </si>
  <si>
    <t>Ramon</t>
  </si>
  <si>
    <t>Pontual Creators</t>
  </si>
  <si>
    <t>% CRM</t>
  </si>
  <si>
    <t>Nova contratação 7</t>
  </si>
  <si>
    <t>Pontual CRM</t>
  </si>
  <si>
    <t>Nova contratação 8</t>
  </si>
  <si>
    <t>AOV CRM</t>
  </si>
  <si>
    <t>Contratos CRM</t>
  </si>
  <si>
    <t>Gerencia</t>
  </si>
  <si>
    <t>Pontual Others</t>
  </si>
  <si>
    <t>(=) Gerencia</t>
  </si>
  <si>
    <t>João Guarçoni</t>
  </si>
  <si>
    <t>AOV Pontual</t>
  </si>
  <si>
    <t>Lucas Pereira</t>
  </si>
  <si>
    <t>AOV Recorrente</t>
  </si>
  <si>
    <t>Gestor growth?</t>
  </si>
  <si>
    <t>Taxa de conversão</t>
  </si>
  <si>
    <t>Reuniões Necessárias</t>
  </si>
  <si>
    <t>Reuniões por pré vendedor</t>
  </si>
  <si>
    <t>Reuniões por vendedor</t>
  </si>
  <si>
    <t>MRR Vendido por vendedor</t>
  </si>
  <si>
    <t>Growth</t>
  </si>
  <si>
    <t>(=) Growth</t>
  </si>
  <si>
    <t>Vinicius Ichinosek</t>
  </si>
  <si>
    <t>Esther Fiorio</t>
  </si>
  <si>
    <t>Matheus Oliveira</t>
  </si>
  <si>
    <t>Amanda Lovise</t>
  </si>
  <si>
    <t>Caio</t>
  </si>
  <si>
    <t>Samantha</t>
  </si>
  <si>
    <t>Webdesigner</t>
  </si>
  <si>
    <t>Social Media Socios</t>
  </si>
  <si>
    <t>Receita Recorrente</t>
  </si>
  <si>
    <t>Bookado</t>
  </si>
  <si>
    <t>MRR Ativo</t>
  </si>
  <si>
    <t>Churn</t>
  </si>
  <si>
    <t>Churn Performance</t>
  </si>
  <si>
    <t>Churn Creators</t>
  </si>
  <si>
    <t>Churn Social</t>
  </si>
  <si>
    <t>Churn Gestão de Comunidade</t>
  </si>
  <si>
    <t>Churn Others</t>
  </si>
  <si>
    <t>Churn Total</t>
  </si>
  <si>
    <t>Receita Pontual</t>
  </si>
  <si>
    <t>CAPEX</t>
  </si>
  <si>
    <t xml:space="preserve">(=) CAPEX </t>
  </si>
  <si>
    <t>(=) Colaboradores totais</t>
  </si>
  <si>
    <t>(=) Computadores totais</t>
  </si>
  <si>
    <t>(=) Computadores a comprar</t>
  </si>
  <si>
    <t>(-) Computadores comprados mês</t>
  </si>
  <si>
    <t>% NF Emitida</t>
  </si>
  <si>
    <t>Simples Nacional</t>
  </si>
  <si>
    <t>ISS</t>
  </si>
  <si>
    <t>Receita NF</t>
  </si>
  <si>
    <t>PIS/COFINS</t>
  </si>
  <si>
    <t>Receita Bruta Peixoto</t>
  </si>
  <si>
    <t>CSLL + IRPJ</t>
  </si>
  <si>
    <t>(=) Receita Liquida Peixoto</t>
  </si>
  <si>
    <t>Receita Bruta Turbo Partners</t>
  </si>
  <si>
    <t>(=) Receita Liquida Turbo</t>
  </si>
  <si>
    <t>(-) Simples Nacional</t>
  </si>
  <si>
    <t>(-) ISS</t>
  </si>
  <si>
    <t>(-) PIS/COFINS</t>
  </si>
  <si>
    <t>(-) CSLL + IRPJ</t>
  </si>
  <si>
    <t>Alíquota Efetiva</t>
  </si>
  <si>
    <t>Turbo Partners LTDA</t>
  </si>
  <si>
    <t>Tenho nota sobre tudo?</t>
  </si>
  <si>
    <t>CSV - ✅</t>
  </si>
  <si>
    <t>Caju</t>
  </si>
  <si>
    <t>CAC - ✅</t>
  </si>
  <si>
    <t>SG&amp;A - ❌</t>
  </si>
  <si>
    <t>Consideramos nossos salários como custo</t>
  </si>
  <si>
    <t>CAPEX - ❌</t>
  </si>
  <si>
    <t>Não poderiamos ter uma empresa de aluguel de maquina e equipamentos?</t>
  </si>
  <si>
    <t>Edifício</t>
  </si>
  <si>
    <t>Telas</t>
  </si>
  <si>
    <t>Valor</t>
  </si>
  <si>
    <t>Valor por Tela</t>
  </si>
  <si>
    <t>APEX Empresarial</t>
  </si>
  <si>
    <t>Número de Telas</t>
  </si>
  <si>
    <t>Edifício Churchill</t>
  </si>
  <si>
    <t>AOV por Slot</t>
  </si>
  <si>
    <t xml:space="preserve">Escritório Turbo </t>
  </si>
  <si>
    <t>Vacância</t>
  </si>
  <si>
    <t>Residencial Jardins</t>
  </si>
  <si>
    <t>Receita Bruta</t>
  </si>
  <si>
    <t>Vértice Empresarial</t>
  </si>
  <si>
    <t>(-) Impostos</t>
  </si>
  <si>
    <t>Signature</t>
  </si>
  <si>
    <t>Média</t>
  </si>
  <si>
    <t>(-) ADMooh</t>
  </si>
  <si>
    <t>(-) Equipe</t>
  </si>
  <si>
    <t>(=) Resultado</t>
  </si>
  <si>
    <t>Tela Totais</t>
  </si>
  <si>
    <t>Anuncios totais</t>
  </si>
  <si>
    <t>Clientes</t>
  </si>
  <si>
    <t>AOV Clientes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</si>
  <si>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</si>
  <si>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</si>
  <si>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</si>
  <si>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</si>
  <si>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</si>
  <si>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</si>
  <si>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</si>
  <si>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</si>
  <si>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</si>
  <si>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</si>
  <si>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 Variavel</t>
  </si>
  <si>
    <t>Mentoria</t>
  </si>
  <si>
    <t>Infoproduto Turbo</t>
  </si>
  <si>
    <t>Stack Digital</t>
  </si>
  <si>
    <t>Tools</t>
  </si>
  <si>
    <t>Estruturação Estrategica</t>
  </si>
  <si>
    <t>Estruturação Comercial</t>
  </si>
  <si>
    <t>CMO AS A SERVICE</t>
  </si>
  <si>
    <t>SAAS</t>
  </si>
  <si>
    <t>Turbooh</t>
  </si>
  <si>
    <t>Ventures</t>
  </si>
  <si>
    <t>TOTAL</t>
  </si>
  <si>
    <t>Turbo Day</t>
  </si>
  <si>
    <t>4x</t>
  </si>
  <si>
    <t>Coco Bambu</t>
  </si>
  <si>
    <t>Turbo One</t>
  </si>
  <si>
    <t>Big Event</t>
  </si>
  <si>
    <t>Expositor</t>
  </si>
  <si>
    <t>Ecommerce Brasil e Natural Tech</t>
  </si>
  <si>
    <t>Patrocinio</t>
  </si>
  <si>
    <t xml:space="preserve">1 cota de patrocinio </t>
  </si>
  <si>
    <t>como o seminario de inverno</t>
  </si>
  <si>
    <t>Participante</t>
  </si>
  <si>
    <t>3x</t>
  </si>
  <si>
    <t>Mandar vendedor para evento</t>
  </si>
  <si>
    <t>Workshop</t>
  </si>
  <si>
    <t>Eventos online ou presencial</t>
  </si>
  <si>
    <t>1 a cada 2 meses</t>
  </si>
  <si>
    <t>março</t>
  </si>
  <si>
    <t>Ticket Médio</t>
  </si>
  <si>
    <t>Contratos</t>
  </si>
  <si>
    <t xml:space="preserve"> Performance</t>
  </si>
  <si>
    <t xml:space="preserve"> Creators</t>
  </si>
  <si>
    <t xml:space="preserve"> Social Media</t>
  </si>
  <si>
    <t xml:space="preserve"> Gestão de Comunidade</t>
  </si>
  <si>
    <t xml:space="preserve"> E-mail Marketing</t>
  </si>
  <si>
    <t xml:space="preserve"> Tech/CRM/outros</t>
  </si>
  <si>
    <t xml:space="preserve"> Tech/CRM</t>
  </si>
  <si>
    <t>Operadores</t>
  </si>
  <si>
    <t xml:space="preserve"> Designer Performance</t>
  </si>
  <si>
    <t xml:space="preserve"> Designer Creator</t>
  </si>
  <si>
    <t xml:space="preserve"> Designer SM</t>
  </si>
  <si>
    <t xml:space="preserve"> Designer E-mail Marketing</t>
  </si>
  <si>
    <t xml:space="preserve"> CX</t>
  </si>
  <si>
    <t xml:space="preserve"> Líder</t>
  </si>
  <si>
    <t>Salário</t>
  </si>
  <si>
    <t>Recorrente</t>
  </si>
  <si>
    <t>Task Name</t>
  </si>
  <si>
    <t>Qtd Recorrente</t>
  </si>
  <si>
    <t>Social Media</t>
  </si>
  <si>
    <t>E-mail Marketing</t>
  </si>
  <si>
    <t>Sustentação</t>
  </si>
  <si>
    <t>Account Manager</t>
  </si>
  <si>
    <t>Blog Post</t>
  </si>
  <si>
    <t>Agente AI</t>
  </si>
  <si>
    <t>CRM</t>
  </si>
  <si>
    <t>Automação</t>
  </si>
  <si>
    <t>Total geral</t>
  </si>
  <si>
    <t>Crescimento</t>
  </si>
  <si>
    <t>TM</t>
  </si>
  <si>
    <t>% Aquisição</t>
  </si>
  <si>
    <t>CPO</t>
  </si>
  <si>
    <t>Faturamento Esperado</t>
  </si>
  <si>
    <t>CX</t>
  </si>
  <si>
    <t>Líder</t>
  </si>
  <si>
    <t>Conta</t>
  </si>
  <si>
    <t>Designer SM</t>
  </si>
  <si>
    <t>Designer Creator</t>
  </si>
  <si>
    <t>Designer E-mail</t>
  </si>
  <si>
    <t>COP</t>
  </si>
  <si>
    <t>Imposto</t>
  </si>
  <si>
    <t>Inadimplencia</t>
  </si>
  <si>
    <t>SG&amp;A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</si>
</sst>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"/>
    <numFmt numFmtId="165" formatCode="[$R$ -416]#,##0.00"/>
    <numFmt numFmtId="166" formatCode="0.0"/>
    <numFmt numFmtId="167" formatCode="[$R$ -416]#,##0.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</font>
    <font/>
    <font>
      <b/>
      <color rgb="FFFFFFFF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Arial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2F5F7"/>
        <bgColor rgb="FFF2F5F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bottom style="thick">
        <color rgb="FF6883A4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4" fillId="2" fontId="6" numFmtId="0" xfId="0" applyAlignment="1" applyBorder="1" applyFill="1" applyFont="1">
      <alignment readingOrder="0"/>
    </xf>
    <xf borderId="1" fillId="2" fontId="6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0" fontId="1" numFmtId="9" xfId="0" applyAlignment="1" applyBorder="1" applyFont="1" applyNumberFormat="1">
      <alignment horizontal="center" readingOrder="0"/>
    </xf>
    <xf borderId="4" fillId="0" fontId="3" numFmtId="164" xfId="0" applyAlignment="1" applyBorder="1" applyFont="1" applyNumberFormat="1">
      <alignment horizontal="center" readingOrder="0"/>
    </xf>
    <xf borderId="4" fillId="0" fontId="3" numFmtId="164" xfId="0" applyAlignment="1" applyBorder="1" applyFont="1" applyNumberFormat="1">
      <alignment horizontal="center"/>
    </xf>
    <xf borderId="0" fillId="0" fontId="1" numFmtId="9" xfId="0" applyAlignment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4" fillId="0" fontId="3" numFmtId="10" xfId="0" applyAlignment="1" applyBorder="1" applyFont="1" applyNumberFormat="1">
      <alignment horizontal="center"/>
    </xf>
    <xf borderId="0" fillId="0" fontId="1" numFmtId="10" xfId="0" applyFont="1" applyNumberFormat="1"/>
    <xf borderId="4" fillId="0" fontId="1" numFmtId="3" xfId="0" applyAlignment="1" applyBorder="1" applyFont="1" applyNumberFormat="1">
      <alignment horizontal="center" readingOrder="0"/>
    </xf>
    <xf borderId="4" fillId="0" fontId="1" numFmtId="1" xfId="0" applyAlignment="1" applyBorder="1" applyFont="1" applyNumberFormat="1">
      <alignment horizontal="center"/>
    </xf>
    <xf borderId="4" fillId="0" fontId="1" numFmtId="3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 vertical="bottom"/>
    </xf>
    <xf borderId="4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3" fontId="1" numFmtId="164" xfId="0" applyAlignment="1" applyBorder="1" applyFont="1" applyNumberFormat="1">
      <alignment horizontal="center" readingOrder="0"/>
    </xf>
    <xf borderId="4" fillId="0" fontId="1" numFmtId="0" xfId="0" applyBorder="1" applyFont="1"/>
    <xf borderId="4" fillId="0" fontId="1" numFmtId="165" xfId="0" applyAlignment="1" applyBorder="1" applyFont="1" applyNumberForma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4" fillId="3" fontId="1" numFmtId="3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horizontal="center" vertical="bottom"/>
    </xf>
    <xf borderId="4" fillId="3" fontId="4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4" fillId="0" fontId="4" numFmtId="164" xfId="0" applyAlignment="1" applyBorder="1" applyFont="1" applyNumberFormat="1">
      <alignment vertical="bottom"/>
    </xf>
    <xf borderId="4" fillId="0" fontId="1" numFmtId="0" xfId="0" applyBorder="1" applyFont="1"/>
    <xf borderId="4" fillId="0" fontId="1" numFmtId="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vertical="bottom"/>
    </xf>
    <xf borderId="4" fillId="0" fontId="1" numFmtId="2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center" readingOrder="0" vertical="bottom"/>
    </xf>
    <xf borderId="4" fillId="5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4" numFmtId="165" xfId="0" applyAlignment="1" applyBorder="1" applyFont="1" applyNumberFormat="1">
      <alignment vertical="bottom"/>
    </xf>
    <xf borderId="4" fillId="0" fontId="1" numFmtId="165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1" fillId="6" fontId="3" numFmtId="0" xfId="0" applyAlignment="1" applyBorder="1" applyFill="1" applyFont="1">
      <alignment horizontal="center" readingOrder="0"/>
    </xf>
    <xf borderId="4" fillId="0" fontId="3" numFmtId="165" xfId="0" applyBorder="1" applyFont="1" applyNumberFormat="1"/>
    <xf borderId="4" fillId="0" fontId="4" numFmtId="165" xfId="0" applyBorder="1" applyFont="1" applyNumberFormat="1"/>
    <xf borderId="4" fillId="0" fontId="1" numFmtId="4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 vertical="bottom"/>
    </xf>
    <xf borderId="4" fillId="0" fontId="3" numFmtId="4" xfId="0" applyAlignment="1" applyBorder="1" applyFont="1" applyNumberFormat="1">
      <alignment horizontal="center" readingOrder="0"/>
    </xf>
    <xf borderId="4" fillId="0" fontId="7" numFmtId="164" xfId="0" applyAlignment="1" applyBorder="1" applyFont="1" applyNumberFormat="1">
      <alignment horizontal="center" readingOrder="0" vertical="bottom"/>
    </xf>
    <xf borderId="1" fillId="5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0" fillId="0" fontId="1" numFmtId="9" xfId="0" applyAlignment="1" applyFont="1" applyNumberFormat="1">
      <alignment readingOrder="0"/>
    </xf>
    <xf borderId="0" fillId="0" fontId="1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4" fillId="3" fontId="4" numFmtId="0" xfId="0" applyAlignment="1" applyBorder="1" applyFont="1">
      <alignment vertical="bottom"/>
    </xf>
    <xf borderId="4" fillId="3" fontId="4" numFmtId="0" xfId="0" applyAlignment="1" applyBorder="1" applyFont="1">
      <alignment shrinkToFit="0" vertical="bottom" wrapText="0"/>
    </xf>
    <xf borderId="0" fillId="0" fontId="4" numFmtId="164" xfId="0" applyAlignment="1" applyFont="1" applyNumberFormat="1">
      <alignment vertical="bottom"/>
    </xf>
    <xf borderId="4" fillId="0" fontId="4" numFmtId="164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horizontal="center" readingOrder="0"/>
    </xf>
    <xf borderId="4" fillId="0" fontId="4" numFmtId="3" xfId="0" applyAlignment="1" applyBorder="1" applyFont="1" applyNumberFormat="1">
      <alignment vertical="bottom"/>
    </xf>
    <xf borderId="4" fillId="0" fontId="1" numFmtId="10" xfId="0" applyAlignment="1" applyBorder="1" applyFont="1" applyNumberFormat="1">
      <alignment horizontal="center" readingOrder="0"/>
    </xf>
    <xf borderId="4" fillId="0" fontId="3" numFmtId="9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3" fontId="7" numFmtId="0" xfId="0" applyAlignment="1" applyBorder="1" applyFon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horizontal="left" readingOrder="0"/>
    </xf>
    <xf borderId="0" fillId="0" fontId="1" numFmtId="10" xfId="0" applyAlignment="1" applyFont="1" applyNumberFormat="1">
      <alignment readingOrder="0"/>
    </xf>
    <xf borderId="4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4" fillId="0" fontId="4" numFmtId="3" xfId="0" applyAlignment="1" applyBorder="1" applyFont="1" applyNumberFormat="1">
      <alignment horizontal="center" vertical="bottom"/>
    </xf>
    <xf borderId="4" fillId="0" fontId="4" numFmtId="1" xfId="0" applyAlignment="1" applyBorder="1" applyFont="1" applyNumberFormat="1">
      <alignment horizontal="center" vertical="bottom"/>
    </xf>
    <xf borderId="4" fillId="0" fontId="1" numFmtId="164" xfId="0" applyBorder="1" applyFont="1" applyNumberFormat="1"/>
    <xf borderId="0" fillId="2" fontId="6" numFmtId="1" xfId="0" applyAlignment="1" applyFont="1" applyNumberFormat="1">
      <alignment readingOrder="0"/>
    </xf>
    <xf borderId="0" fillId="2" fontId="6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7" fontId="8" numFmtId="0" xfId="0" applyAlignment="1" applyFill="1" applyFont="1">
      <alignment vertical="bottom"/>
    </xf>
    <xf borderId="0" fillId="0" fontId="7" numFmtId="164" xfId="0" applyAlignment="1" applyFont="1" applyNumberFormat="1">
      <alignment horizontal="center" vertical="bottom"/>
    </xf>
    <xf borderId="0" fillId="8" fontId="7" numFmtId="164" xfId="0" applyAlignment="1" applyFill="1" applyFont="1" applyNumberFormat="1">
      <alignment horizontal="center" vertical="bottom"/>
    </xf>
    <xf borderId="5" fillId="7" fontId="9" numFmtId="0" xfId="0" applyAlignment="1" applyBorder="1" applyFont="1">
      <alignment vertical="bottom"/>
    </xf>
    <xf borderId="0" fillId="0" fontId="10" numFmtId="164" xfId="0" applyAlignment="1" applyFont="1" applyNumberFormat="1">
      <alignment horizontal="center" vertical="bottom"/>
    </xf>
    <xf borderId="0" fillId="8" fontId="10" numFmtId="164" xfId="0" applyAlignment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9" fontId="7" numFmtId="164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0" fontId="4" numFmtId="1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center" vertical="bottom"/>
    </xf>
    <xf borderId="0" fillId="0" fontId="10" numFmtId="1" xfId="0" applyAlignment="1" applyFont="1" applyNumberFormat="1">
      <alignment horizontal="center" vertical="bottom"/>
    </xf>
    <xf borderId="5" fillId="7" fontId="9" numFmtId="0" xfId="0" applyAlignment="1" applyBorder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4" numFmtId="10" xfId="0" applyAlignment="1" applyFont="1" applyNumberFormat="1">
      <alignment horizontal="center" vertical="bottom"/>
    </xf>
    <xf borderId="0" fillId="2" fontId="11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6" fillId="10" fontId="9" numFmtId="0" xfId="0" applyAlignment="1" applyBorder="1" applyFill="1" applyFont="1">
      <alignment vertical="bottom"/>
    </xf>
    <xf borderId="6" fillId="11" fontId="12" numFmtId="164" xfId="0" applyAlignment="1" applyBorder="1" applyFill="1" applyFont="1" applyNumberFormat="1">
      <alignment vertical="bottom"/>
    </xf>
    <xf borderId="6" fillId="11" fontId="12" numFmtId="3" xfId="0" applyAlignment="1" applyBorder="1" applyFont="1" applyNumberFormat="1">
      <alignment vertical="bottom"/>
    </xf>
    <xf borderId="6" fillId="11" fontId="12" numFmtId="164" xfId="0" applyAlignment="1" applyBorder="1" applyFont="1" applyNumberFormat="1">
      <alignment horizontal="right" vertical="bottom"/>
    </xf>
    <xf borderId="5" fillId="7" fontId="13" numFmtId="0" xfId="0" applyAlignment="1" applyBorder="1" applyFont="1">
      <alignment vertical="bottom"/>
    </xf>
    <xf borderId="0" fillId="3" fontId="13" numFmtId="164" xfId="0" applyAlignment="1" applyFont="1" applyNumberFormat="1">
      <alignment horizontal="center" vertical="bottom"/>
    </xf>
    <xf borderId="0" fillId="3" fontId="13" numFmtId="3" xfId="0" applyAlignment="1" applyFont="1" applyNumberFormat="1">
      <alignment horizontal="center" vertical="bottom"/>
    </xf>
    <xf borderId="0" fillId="0" fontId="4" numFmtId="9" xfId="0" applyAlignment="1" applyFont="1" applyNumberFormat="1">
      <alignment horizontal="center" vertical="bottom"/>
    </xf>
    <xf borderId="7" fillId="10" fontId="8" numFmtId="0" xfId="0" applyAlignment="1" applyBorder="1" applyFont="1">
      <alignment vertical="bottom"/>
    </xf>
    <xf borderId="7" fillId="10" fontId="8" numFmtId="164" xfId="0" applyAlignment="1" applyBorder="1" applyFont="1" applyNumberFormat="1">
      <alignment horizontal="center" vertical="bottom"/>
    </xf>
    <xf borderId="7" fillId="10" fontId="8" numFmtId="3" xfId="0" applyAlignment="1" applyBorder="1" applyFont="1" applyNumberFormat="1">
      <alignment horizontal="center" vertical="bottom"/>
    </xf>
    <xf borderId="0" fillId="0" fontId="4" numFmtId="3" xfId="0" applyAlignment="1" applyFont="1" applyNumberForma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0" fontId="13" numFmtId="167" xfId="0" applyAlignment="1" applyFont="1" applyNumberFormat="1">
      <alignment horizontal="right" vertical="bottom"/>
    </xf>
    <xf borderId="0" fillId="0" fontId="13" numFmtId="3" xfId="0" applyAlignment="1" applyFont="1" applyNumberFormat="1">
      <alignment vertical="bottom"/>
    </xf>
    <xf borderId="0" fillId="0" fontId="13" numFmtId="9" xfId="0" applyAlignment="1" applyFont="1" applyNumberFormat="1">
      <alignment horizontal="right" vertical="bottom"/>
    </xf>
    <xf borderId="0" fillId="0" fontId="13" numFmtId="164" xfId="0" applyAlignment="1" applyFont="1" applyNumberFormat="1">
      <alignment vertical="bottom"/>
    </xf>
    <xf borderId="0" fillId="0" fontId="13" numFmtId="164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9" fontId="13" numFmtId="164" xfId="0" applyAlignment="1" applyFont="1" applyNumberFormat="1">
      <alignment horizontal="center" readingOrder="0" vertical="bottom"/>
    </xf>
    <xf borderId="0" fillId="9" fontId="13" numFmtId="10" xfId="0" applyAlignment="1" applyFont="1" applyNumberFormat="1">
      <alignment horizontal="center" vertical="bottom"/>
    </xf>
    <xf borderId="0" fillId="9" fontId="13" numFmtId="3" xfId="0" applyAlignment="1" applyFont="1" applyNumberFormat="1">
      <alignment horizontal="center" vertical="bottom"/>
    </xf>
    <xf borderId="0" fillId="9" fontId="4" numFmtId="9" xfId="0" applyAlignment="1" applyFont="1" applyNumberFormat="1">
      <alignment horizontal="center" vertical="bottom"/>
    </xf>
    <xf borderId="0" fillId="9" fontId="4" numFmtId="0" xfId="0" applyAlignment="1" applyFont="1">
      <alignment horizontal="center" readingOrder="0" vertical="bottom"/>
    </xf>
    <xf borderId="0" fillId="0" fontId="4" numFmtId="10" xfId="0" applyAlignment="1" applyFont="1" applyNumberFormat="1">
      <alignment vertical="bottom"/>
    </xf>
    <xf borderId="0" fillId="9" fontId="13" numFmtId="164" xfId="0" applyAlignment="1" applyFont="1" applyNumberFormat="1">
      <alignment horizontal="center" vertical="bottom"/>
    </xf>
    <xf borderId="0" fillId="9" fontId="13" numFmtId="3" xfId="0" applyAlignment="1" applyFont="1" applyNumberFormat="1">
      <alignment horizontal="center" readingOrder="0" vertical="bottom"/>
    </xf>
    <xf borderId="5" fillId="7" fontId="13" numFmtId="0" xfId="0" applyAlignment="1" applyBorder="1" applyFont="1">
      <alignment readingOrder="0" vertical="bottom"/>
    </xf>
    <xf borderId="0" fillId="9" fontId="4" numFmtId="164" xfId="0" applyAlignment="1" applyFont="1" applyNumberFormat="1">
      <alignment horizontal="center" vertical="bottom"/>
    </xf>
    <xf borderId="0" fillId="9" fontId="4" numFmtId="0" xfId="0" applyAlignment="1" applyFont="1">
      <alignment horizontal="center" vertical="bottom"/>
    </xf>
    <xf borderId="0" fillId="0" fontId="13" numFmtId="10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8" fontId="4" numFmtId="0" xfId="0" applyAlignment="1" applyFont="1">
      <alignment vertical="bottom"/>
    </xf>
    <xf borderId="0" fillId="8" fontId="4" numFmtId="10" xfId="0" applyAlignment="1" applyFont="1" applyNumberFormat="1">
      <alignment vertical="bottom"/>
    </xf>
    <xf borderId="0" fillId="8" fontId="4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4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d9xdiEdrcTYg6vKJGJvyknFmdaPA3eUgVTLtH2r8K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75"/>
    <col customWidth="1" min="3" max="3" width="18.88"/>
    <col customWidth="1" min="4" max="4" width="16.25"/>
    <col customWidth="1" min="5" max="5" width="15.5"/>
    <col customWidth="1" min="6" max="6" width="17.88"/>
    <col customWidth="1" min="8" max="8" width="32.25"/>
  </cols>
  <sheetData>
    <row r="2">
      <c r="B2" s="1" t="s">
        <v>0</v>
      </c>
      <c r="D2" s="2" t="s">
        <v>1</v>
      </c>
    </row>
    <row r="4">
      <c r="B4" s="1" t="s">
        <v>2</v>
      </c>
    </row>
    <row r="5">
      <c r="B5" s="1" t="s">
        <v>3</v>
      </c>
      <c r="D5" s="1" t="s">
        <v>4</v>
      </c>
    </row>
    <row r="7">
      <c r="B7" s="1" t="s">
        <v>5</v>
      </c>
    </row>
    <row r="8">
      <c r="B8" s="1" t="s">
        <v>6</v>
      </c>
      <c r="F8" s="3" t="s">
        <v>7</v>
      </c>
      <c r="G8" s="1" t="s">
        <v>8</v>
      </c>
    </row>
    <row r="9">
      <c r="F9" s="3" t="s">
        <v>9</v>
      </c>
      <c r="G9" s="1" t="s">
        <v>10</v>
      </c>
    </row>
    <row r="10">
      <c r="F10" s="3" t="s">
        <v>11</v>
      </c>
    </row>
    <row r="11">
      <c r="B11" s="1" t="s">
        <v>12</v>
      </c>
      <c r="F11" s="3" t="s">
        <v>13</v>
      </c>
    </row>
    <row r="12">
      <c r="B12" s="1" t="s">
        <v>14</v>
      </c>
      <c r="F12" s="3" t="s">
        <v>15</v>
      </c>
      <c r="H12" s="4"/>
    </row>
    <row r="13">
      <c r="H13" s="5"/>
    </row>
    <row r="14">
      <c r="B14" s="1" t="s">
        <v>16</v>
      </c>
      <c r="C14" s="1" t="s">
        <v>17</v>
      </c>
      <c r="D14" s="1" t="s">
        <v>18</v>
      </c>
      <c r="E14" s="1" t="s">
        <v>19</v>
      </c>
      <c r="H14" s="5"/>
    </row>
    <row r="15">
      <c r="H15" s="5"/>
    </row>
    <row r="16">
      <c r="B16" s="1" t="s">
        <v>20</v>
      </c>
    </row>
    <row r="17">
      <c r="B17" s="1" t="s">
        <v>21</v>
      </c>
    </row>
    <row r="18">
      <c r="B18" s="1"/>
    </row>
    <row r="19">
      <c r="B19" s="3" t="s">
        <v>22</v>
      </c>
    </row>
    <row r="20">
      <c r="B20" s="3" t="s">
        <v>23</v>
      </c>
    </row>
    <row r="22">
      <c r="B22" s="1" t="s">
        <v>24</v>
      </c>
    </row>
    <row r="23">
      <c r="B23" s="1" t="s">
        <v>25</v>
      </c>
    </row>
    <row r="25">
      <c r="B25" s="6" t="s">
        <v>26</v>
      </c>
      <c r="C25" s="7"/>
      <c r="D25" s="8"/>
    </row>
    <row r="26">
      <c r="B26" s="9" t="s">
        <v>27</v>
      </c>
      <c r="C26" s="10" t="s">
        <v>28</v>
      </c>
      <c r="D26" s="10" t="s">
        <v>29</v>
      </c>
    </row>
    <row r="27">
      <c r="B27" s="9" t="s">
        <v>30</v>
      </c>
      <c r="C27" s="10" t="s">
        <v>31</v>
      </c>
      <c r="D27" s="10" t="s">
        <v>32</v>
      </c>
    </row>
    <row r="28">
      <c r="B28" s="9" t="s">
        <v>33</v>
      </c>
      <c r="C28" s="10" t="s">
        <v>34</v>
      </c>
      <c r="D28" s="10" t="s">
        <v>35</v>
      </c>
      <c r="E28" s="10" t="s">
        <v>36</v>
      </c>
    </row>
    <row r="30">
      <c r="B30" s="1" t="s">
        <v>37</v>
      </c>
    </row>
    <row r="31">
      <c r="B31" s="1"/>
    </row>
    <row r="32">
      <c r="B32" s="3" t="s">
        <v>38</v>
      </c>
    </row>
    <row r="33">
      <c r="B33" s="1" t="s">
        <v>39</v>
      </c>
    </row>
    <row r="34">
      <c r="B34" s="1" t="s">
        <v>40</v>
      </c>
    </row>
    <row r="35">
      <c r="B35" s="1" t="s">
        <v>41</v>
      </c>
    </row>
    <row r="36">
      <c r="B36" s="1" t="s">
        <v>42</v>
      </c>
    </row>
    <row r="37">
      <c r="B37" s="1" t="s">
        <v>43</v>
      </c>
    </row>
  </sheetData>
  <mergeCells count="1">
    <mergeCell ref="B25:D25"/>
  </mergeCells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3.5"/>
    <col customWidth="1" min="3" max="3" width="13.38"/>
    <col customWidth="1" min="5" max="6" width="13.38"/>
    <col customWidth="1" min="7" max="7" width="12.88"/>
    <col customWidth="1" min="8" max="12" width="13.38"/>
    <col customWidth="1" min="14" max="14" width="13.38"/>
    <col customWidth="1" min="15" max="15" width="11.88"/>
    <col customWidth="1" min="16" max="17" width="14.25"/>
  </cols>
  <sheetData>
    <row r="1" ht="9.75" customHeight="1">
      <c r="O1" s="11"/>
      <c r="P1" s="12"/>
      <c r="Q1" s="12"/>
    </row>
    <row r="2">
      <c r="B2" s="13" t="s">
        <v>44</v>
      </c>
      <c r="C2" s="14" t="s">
        <v>45</v>
      </c>
      <c r="D2" s="7"/>
      <c r="E2" s="8"/>
      <c r="F2" s="14" t="s">
        <v>46</v>
      </c>
      <c r="G2" s="7"/>
      <c r="H2" s="8"/>
      <c r="I2" s="14" t="s">
        <v>47</v>
      </c>
      <c r="J2" s="7"/>
      <c r="K2" s="8"/>
      <c r="L2" s="14" t="s">
        <v>48</v>
      </c>
      <c r="M2" s="7"/>
      <c r="N2" s="8"/>
      <c r="O2" s="11"/>
      <c r="P2" s="15"/>
      <c r="Q2" s="12"/>
      <c r="R2" s="6" t="s">
        <v>45</v>
      </c>
      <c r="S2" s="8"/>
    </row>
    <row r="3">
      <c r="B3" s="16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  <c r="L3" s="10" t="s">
        <v>59</v>
      </c>
      <c r="M3" s="10" t="s">
        <v>60</v>
      </c>
      <c r="N3" s="10" t="s">
        <v>61</v>
      </c>
      <c r="O3" s="17" t="s">
        <v>62</v>
      </c>
      <c r="P3" s="18"/>
      <c r="Q3" s="12"/>
      <c r="R3" s="16" t="s">
        <v>63</v>
      </c>
      <c r="S3" s="19">
        <v>0.06</v>
      </c>
    </row>
    <row r="4">
      <c r="B4" s="9" t="s">
        <v>64</v>
      </c>
      <c r="C4" s="20">
        <f>Revenue!D5</f>
        <v>1155500</v>
      </c>
      <c r="D4" s="20">
        <f>Revenue!E5</f>
        <v>1251505</v>
      </c>
      <c r="E4" s="20">
        <f>Revenue!F5</f>
        <v>1338869.55</v>
      </c>
      <c r="F4" s="20">
        <f>Revenue!G5</f>
        <v>1438371.291</v>
      </c>
      <c r="G4" s="20">
        <f>Revenue!H5</f>
        <v>1528917.874</v>
      </c>
      <c r="H4" s="20">
        <f>Revenue!I5</f>
        <v>1611315.266</v>
      </c>
      <c r="I4" s="20">
        <f>Revenue!J5</f>
        <v>1706296.892</v>
      </c>
      <c r="J4" s="20">
        <f>Revenue!K5</f>
        <v>1792730.171</v>
      </c>
      <c r="K4" s="20">
        <f>Revenue!L5</f>
        <v>1871384.456</v>
      </c>
      <c r="L4" s="20">
        <f>Revenue!M5</f>
        <v>1962959.855</v>
      </c>
      <c r="M4" s="20">
        <f>Revenue!N5</f>
        <v>2046293.468</v>
      </c>
      <c r="N4" s="20">
        <f>Revenue!O5</f>
        <v>2122127.056</v>
      </c>
      <c r="O4" s="21">
        <f t="shared" ref="O4:O6" si="1">sum(C4:N4)</f>
        <v>19826270.88</v>
      </c>
      <c r="R4" s="1"/>
      <c r="S4" s="22"/>
    </row>
    <row r="5">
      <c r="B5" s="16" t="s">
        <v>65</v>
      </c>
      <c r="C5" s="23">
        <f>Revenue!D37</f>
        <v>233333.3333</v>
      </c>
      <c r="D5" s="23">
        <f>Revenue!E37</f>
        <v>266666.6667</v>
      </c>
      <c r="E5" s="23">
        <f>Revenue!F37</f>
        <v>250000</v>
      </c>
      <c r="F5" s="23">
        <f>Revenue!G37</f>
        <v>266666.6667</v>
      </c>
      <c r="G5" s="23">
        <f>Revenue!H37</f>
        <v>283333.3333</v>
      </c>
      <c r="H5" s="23">
        <f>Revenue!I37</f>
        <v>300000</v>
      </c>
      <c r="I5" s="23">
        <f>Revenue!J37</f>
        <v>316666.6667</v>
      </c>
      <c r="J5" s="23">
        <f>Revenue!K37</f>
        <v>333333.3333</v>
      </c>
      <c r="K5" s="23">
        <f>Revenue!L37</f>
        <v>350000</v>
      </c>
      <c r="L5" s="23">
        <f>Revenue!M37</f>
        <v>366666.6667</v>
      </c>
      <c r="M5" s="23">
        <f>Revenue!N37</f>
        <v>383333.3333</v>
      </c>
      <c r="N5" s="23">
        <f>Revenue!O37</f>
        <v>400000</v>
      </c>
      <c r="O5" s="23">
        <f t="shared" si="1"/>
        <v>3750000</v>
      </c>
      <c r="P5" s="12"/>
      <c r="Q5" s="12"/>
      <c r="R5" s="6" t="s">
        <v>46</v>
      </c>
      <c r="S5" s="8"/>
    </row>
    <row r="6">
      <c r="B6" s="16" t="s">
        <v>66</v>
      </c>
      <c r="C6" s="24">
        <f>'Outras Receitas'!C14</f>
        <v>23500</v>
      </c>
      <c r="D6" s="24">
        <f>'Outras Receitas'!D14</f>
        <v>23500</v>
      </c>
      <c r="E6" s="24">
        <f>'Outras Receitas'!E14</f>
        <v>23500</v>
      </c>
      <c r="F6" s="24">
        <f>'Outras Receitas'!F14</f>
        <v>24500</v>
      </c>
      <c r="G6" s="24">
        <f>'Outras Receitas'!G14</f>
        <v>24500</v>
      </c>
      <c r="H6" s="24">
        <f>'Outras Receitas'!H14</f>
        <v>24500</v>
      </c>
      <c r="I6" s="24">
        <f>'Outras Receitas'!I14</f>
        <v>30000</v>
      </c>
      <c r="J6" s="24">
        <f>'Outras Receitas'!J14</f>
        <v>30000</v>
      </c>
      <c r="K6" s="24">
        <f>'Outras Receitas'!K14</f>
        <v>30000</v>
      </c>
      <c r="L6" s="24">
        <f>'Outras Receitas'!L14</f>
        <v>31000</v>
      </c>
      <c r="M6" s="24">
        <f>'Outras Receitas'!M14</f>
        <v>31000</v>
      </c>
      <c r="N6" s="24">
        <f>'Outras Receitas'!N14</f>
        <v>31000</v>
      </c>
      <c r="O6" s="23">
        <f t="shared" si="1"/>
        <v>327000</v>
      </c>
      <c r="P6" s="12"/>
      <c r="Q6" s="12"/>
      <c r="R6" s="16" t="s">
        <v>63</v>
      </c>
      <c r="S6" s="19">
        <v>0.06</v>
      </c>
    </row>
    <row r="7">
      <c r="B7" s="9" t="s">
        <v>67</v>
      </c>
      <c r="C7" s="21">
        <f t="shared" ref="C7:O7" si="2">C4+C5+C6</f>
        <v>1412333.333</v>
      </c>
      <c r="D7" s="21">
        <f t="shared" si="2"/>
        <v>1541671.667</v>
      </c>
      <c r="E7" s="21">
        <f t="shared" si="2"/>
        <v>1612369.55</v>
      </c>
      <c r="F7" s="21">
        <f t="shared" si="2"/>
        <v>1729537.957</v>
      </c>
      <c r="G7" s="21">
        <f t="shared" si="2"/>
        <v>1836751.208</v>
      </c>
      <c r="H7" s="21">
        <f t="shared" si="2"/>
        <v>1935815.266</v>
      </c>
      <c r="I7" s="21">
        <f t="shared" si="2"/>
        <v>2052963.558</v>
      </c>
      <c r="J7" s="21">
        <f t="shared" si="2"/>
        <v>2156063.505</v>
      </c>
      <c r="K7" s="21">
        <f t="shared" si="2"/>
        <v>2251384.456</v>
      </c>
      <c r="L7" s="21">
        <f t="shared" si="2"/>
        <v>2360626.522</v>
      </c>
      <c r="M7" s="21">
        <f t="shared" si="2"/>
        <v>2460626.801</v>
      </c>
      <c r="N7" s="21">
        <f t="shared" si="2"/>
        <v>2553127.056</v>
      </c>
      <c r="O7" s="21">
        <f t="shared" si="2"/>
        <v>23903270.88</v>
      </c>
      <c r="P7" s="12"/>
      <c r="Q7" s="12"/>
    </row>
    <row r="8">
      <c r="B8" s="16" t="s">
        <v>68</v>
      </c>
      <c r="C8" s="23">
        <f t="shared" ref="C8:E8" si="3">C7*$S$3</f>
        <v>84740</v>
      </c>
      <c r="D8" s="23">
        <f t="shared" si="3"/>
        <v>92500.3</v>
      </c>
      <c r="E8" s="23">
        <f t="shared" si="3"/>
        <v>96742.173</v>
      </c>
      <c r="F8" s="23">
        <f t="shared" ref="F8:H8" si="4">F7*$S$6</f>
        <v>103772.2774</v>
      </c>
      <c r="G8" s="23">
        <f t="shared" si="4"/>
        <v>110205.0725</v>
      </c>
      <c r="H8" s="23">
        <f t="shared" si="4"/>
        <v>116148.9159</v>
      </c>
      <c r="I8" s="23">
        <f t="shared" ref="I8:K8" si="5">I7*$S$9</f>
        <v>123177.8135</v>
      </c>
      <c r="J8" s="23">
        <f t="shared" si="5"/>
        <v>129363.8103</v>
      </c>
      <c r="K8" s="23">
        <f t="shared" si="5"/>
        <v>135083.0674</v>
      </c>
      <c r="L8" s="23">
        <f t="shared" ref="L8:N8" si="6">L7*$S$12</f>
        <v>141637.5913</v>
      </c>
      <c r="M8" s="23">
        <f t="shared" si="6"/>
        <v>147637.6081</v>
      </c>
      <c r="N8" s="23">
        <f t="shared" si="6"/>
        <v>153187.6234</v>
      </c>
      <c r="O8" s="23">
        <f t="shared" ref="O8:O17" si="7">sum(C8:N8)</f>
        <v>1434196.253</v>
      </c>
      <c r="P8" s="25">
        <f t="shared" ref="P8:P9" si="8">O8/$O$7</f>
        <v>0.06</v>
      </c>
      <c r="Q8" s="12"/>
      <c r="R8" s="6" t="s">
        <v>47</v>
      </c>
      <c r="S8" s="8"/>
    </row>
    <row r="9">
      <c r="B9" s="16" t="s">
        <v>69</v>
      </c>
      <c r="C9" s="23">
        <f>'Tributário'!F11+'Tributário'!F12+'Tributário'!F13</f>
        <v>144599.0114</v>
      </c>
      <c r="D9" s="23">
        <f>'Tributário'!G11+'Tributário'!G12+'Tributário'!G13</f>
        <v>157303.9159</v>
      </c>
      <c r="E9" s="23">
        <f>'Tributário'!H11+'Tributário'!H12+'Tributário'!H13</f>
        <v>164248.5689</v>
      </c>
      <c r="F9" s="23">
        <f>'Tributário'!I11+'Tributário'!I12+'Tributário'!I13</f>
        <v>175659.7916</v>
      </c>
      <c r="G9" s="23">
        <f>'Tributário'!J11+'Tributário'!J12+'Tributário'!J13</f>
        <v>186191.3492</v>
      </c>
      <c r="H9" s="23">
        <f>'Tributário'!K11+'Tributário'!K12+'Tributário'!K13</f>
        <v>195922.4116</v>
      </c>
      <c r="I9" s="23">
        <f>'Tributário'!L11+'Tributário'!L12+'Tributário'!L13</f>
        <v>206889.6234</v>
      </c>
      <c r="J9" s="23">
        <f>'Tributário'!M11+'Tributário'!M12+'Tributário'!M13</f>
        <v>217017.1311</v>
      </c>
      <c r="K9" s="23">
        <f>'Tributário'!N11+'Tributário'!N12+'Tributário'!N13</f>
        <v>226380.5082</v>
      </c>
      <c r="L9" s="23">
        <f>'Tributário'!O11+'Tributário'!O12+'Tributário'!O13</f>
        <v>237013.1263</v>
      </c>
      <c r="M9" s="23">
        <f>'Tributário'!P11+'Tributário'!P12+'Tributário'!P13</f>
        <v>246836.1537</v>
      </c>
      <c r="N9" s="23">
        <f>'Tributário'!Q11+'Tributário'!Q12+'Tributário'!Q13</f>
        <v>255922.4537</v>
      </c>
      <c r="O9" s="23">
        <f t="shared" si="7"/>
        <v>2413984.045</v>
      </c>
      <c r="P9" s="25">
        <f t="shared" si="8"/>
        <v>0.1009896954</v>
      </c>
      <c r="Q9" s="12"/>
      <c r="R9" s="16" t="s">
        <v>63</v>
      </c>
      <c r="S9" s="19">
        <v>0.06</v>
      </c>
    </row>
    <row r="10">
      <c r="B10" s="9" t="s">
        <v>70</v>
      </c>
      <c r="C10" s="21">
        <f t="shared" ref="C10:N10" si="9">C7-C8-C9</f>
        <v>1182994.322</v>
      </c>
      <c r="D10" s="21">
        <f t="shared" si="9"/>
        <v>1291867.451</v>
      </c>
      <c r="E10" s="21">
        <f t="shared" si="9"/>
        <v>1351378.808</v>
      </c>
      <c r="F10" s="21">
        <f t="shared" si="9"/>
        <v>1450105.888</v>
      </c>
      <c r="G10" s="21">
        <f t="shared" si="9"/>
        <v>1540354.786</v>
      </c>
      <c r="H10" s="21">
        <f t="shared" si="9"/>
        <v>1623743.938</v>
      </c>
      <c r="I10" s="21">
        <f t="shared" si="9"/>
        <v>1722896.122</v>
      </c>
      <c r="J10" s="21">
        <f t="shared" si="9"/>
        <v>1809682.563</v>
      </c>
      <c r="K10" s="21">
        <f t="shared" si="9"/>
        <v>1889920.881</v>
      </c>
      <c r="L10" s="21">
        <f t="shared" si="9"/>
        <v>1981975.804</v>
      </c>
      <c r="M10" s="21">
        <f t="shared" si="9"/>
        <v>2066153.04</v>
      </c>
      <c r="N10" s="21">
        <f t="shared" si="9"/>
        <v>2144016.979</v>
      </c>
      <c r="O10" s="21">
        <f t="shared" si="7"/>
        <v>20055090.58</v>
      </c>
      <c r="Q10" s="26">
        <f>O10/$O$7</f>
        <v>0.8390103046</v>
      </c>
    </row>
    <row r="11">
      <c r="B11" s="16" t="s">
        <v>71</v>
      </c>
      <c r="C11" s="23">
        <f>CSV!D4</f>
        <v>390210</v>
      </c>
      <c r="D11" s="23">
        <f>CSV!E4</f>
        <v>405289.6</v>
      </c>
      <c r="E11" s="23">
        <f>CSV!F4</f>
        <v>433909.536</v>
      </c>
      <c r="F11" s="23">
        <f>CSV!G4</f>
        <v>473038.6778</v>
      </c>
      <c r="G11" s="23">
        <f>CSV!H4</f>
        <v>494658.1968</v>
      </c>
      <c r="H11" s="23">
        <f>CSV!I4</f>
        <v>517586.9591</v>
      </c>
      <c r="I11" s="23">
        <f>CSV!J4</f>
        <v>577042.1327</v>
      </c>
      <c r="J11" s="23">
        <f>CSV!K4</f>
        <v>601503.3408</v>
      </c>
      <c r="K11" s="23">
        <f>CSV!L4</f>
        <v>623788.0401</v>
      </c>
      <c r="L11" s="23">
        <f>CSV!M4</f>
        <v>665862.1165</v>
      </c>
      <c r="M11" s="23">
        <f>CSV!N4</f>
        <v>678454.026</v>
      </c>
      <c r="N11" s="23">
        <f>CSV!O4</f>
        <v>695130.1637</v>
      </c>
      <c r="O11" s="23">
        <f t="shared" si="7"/>
        <v>6556472.789</v>
      </c>
      <c r="P11" s="25">
        <f>O11/$O$7</f>
        <v>0.2742918667</v>
      </c>
      <c r="Q11" s="12"/>
      <c r="R11" s="6" t="s">
        <v>48</v>
      </c>
      <c r="S11" s="8"/>
    </row>
    <row r="12">
      <c r="B12" s="9" t="s">
        <v>72</v>
      </c>
      <c r="C12" s="21">
        <f t="shared" ref="C12:N12" si="10">C10-C11</f>
        <v>792784.322</v>
      </c>
      <c r="D12" s="21">
        <f t="shared" si="10"/>
        <v>886577.8508</v>
      </c>
      <c r="E12" s="21">
        <f t="shared" si="10"/>
        <v>917469.2721</v>
      </c>
      <c r="F12" s="21">
        <f t="shared" si="10"/>
        <v>977067.2104</v>
      </c>
      <c r="G12" s="21">
        <f t="shared" si="10"/>
        <v>1045696.589</v>
      </c>
      <c r="H12" s="21">
        <f t="shared" si="10"/>
        <v>1106156.979</v>
      </c>
      <c r="I12" s="21">
        <f t="shared" si="10"/>
        <v>1145853.989</v>
      </c>
      <c r="J12" s="21">
        <f t="shared" si="10"/>
        <v>1208179.223</v>
      </c>
      <c r="K12" s="21">
        <f t="shared" si="10"/>
        <v>1266132.84</v>
      </c>
      <c r="L12" s="21">
        <f t="shared" si="10"/>
        <v>1316113.688</v>
      </c>
      <c r="M12" s="21">
        <f t="shared" si="10"/>
        <v>1387699.014</v>
      </c>
      <c r="N12" s="21">
        <f t="shared" si="10"/>
        <v>1448886.815</v>
      </c>
      <c r="O12" s="21">
        <f t="shared" si="7"/>
        <v>13498617.79</v>
      </c>
      <c r="Q12" s="26">
        <f>O12/$O$7</f>
        <v>0.5647184379</v>
      </c>
      <c r="R12" s="16" t="s">
        <v>63</v>
      </c>
      <c r="S12" s="19">
        <v>0.06</v>
      </c>
    </row>
    <row r="13">
      <c r="B13" s="16" t="s">
        <v>73</v>
      </c>
      <c r="C13" s="23">
        <f>CAC!C6</f>
        <v>285217.0155</v>
      </c>
      <c r="D13" s="23">
        <f>CAC!D6</f>
        <v>288717.0155</v>
      </c>
      <c r="E13" s="23">
        <f>CAC!E6</f>
        <v>314717.0155</v>
      </c>
      <c r="F13" s="23">
        <f>CAC!F6</f>
        <v>332957.0726</v>
      </c>
      <c r="G13" s="23">
        <f>CAC!G6</f>
        <v>417957.0726</v>
      </c>
      <c r="H13" s="23">
        <f>CAC!H6</f>
        <v>357957.0726</v>
      </c>
      <c r="I13" s="23">
        <f>CAC!I6</f>
        <v>442197.1297</v>
      </c>
      <c r="J13" s="23">
        <f>CAC!J6</f>
        <v>360197.1297</v>
      </c>
      <c r="K13" s="23">
        <f>CAC!K6</f>
        <v>373197.1297</v>
      </c>
      <c r="L13" s="23">
        <f>CAC!L6</f>
        <v>391937.1867</v>
      </c>
      <c r="M13" s="23">
        <f>CAC!M6</f>
        <v>394437.1867</v>
      </c>
      <c r="N13" s="23">
        <f>CAC!N6</f>
        <v>417437.1867</v>
      </c>
      <c r="O13" s="23">
        <f t="shared" si="7"/>
        <v>4376925.214</v>
      </c>
      <c r="P13" s="25">
        <f t="shared" ref="P13:P14" si="11">O13/$O$7</f>
        <v>0.1831098863</v>
      </c>
      <c r="Q13" s="12"/>
    </row>
    <row r="14">
      <c r="B14" s="16" t="s">
        <v>74</v>
      </c>
      <c r="C14" s="23">
        <f>'SG&amp;A'!C6</f>
        <v>402130</v>
      </c>
      <c r="D14" s="23">
        <f>'SG&amp;A'!D6</f>
        <v>280477</v>
      </c>
      <c r="E14" s="23">
        <f>'SG&amp;A'!E6</f>
        <v>279518</v>
      </c>
      <c r="F14" s="23">
        <f>'SG&amp;A'!F6</f>
        <v>285633</v>
      </c>
      <c r="G14" s="23">
        <f>'SG&amp;A'!G6</f>
        <v>288429</v>
      </c>
      <c r="H14" s="23">
        <f>'SG&amp;A'!H6</f>
        <v>293174</v>
      </c>
      <c r="I14" s="23">
        <f>'SG&amp;A'!I6</f>
        <v>433887</v>
      </c>
      <c r="J14" s="23">
        <f>'SG&amp;A'!J6</f>
        <v>305132</v>
      </c>
      <c r="K14" s="23">
        <f>'SG&amp;A'!K6</f>
        <v>306928</v>
      </c>
      <c r="L14" s="23">
        <f>'SG&amp;A'!L6</f>
        <v>314192</v>
      </c>
      <c r="M14" s="23">
        <f>'SG&amp;A'!M6</f>
        <v>315539</v>
      </c>
      <c r="N14" s="23">
        <f>'SG&amp;A'!N6</f>
        <v>346886</v>
      </c>
      <c r="O14" s="23">
        <f t="shared" si="7"/>
        <v>3851925</v>
      </c>
      <c r="P14" s="25">
        <f t="shared" si="11"/>
        <v>0.1611463561</v>
      </c>
      <c r="Q14" s="12"/>
    </row>
    <row r="15">
      <c r="B15" s="9" t="s">
        <v>75</v>
      </c>
      <c r="C15" s="21">
        <f t="shared" ref="C15:N15" si="12">C12-C13-C14</f>
        <v>105437.3064</v>
      </c>
      <c r="D15" s="21">
        <f t="shared" si="12"/>
        <v>317383.8353</v>
      </c>
      <c r="E15" s="21">
        <f t="shared" si="12"/>
        <v>323234.2565</v>
      </c>
      <c r="F15" s="21">
        <f t="shared" si="12"/>
        <v>358477.1378</v>
      </c>
      <c r="G15" s="21">
        <f t="shared" si="12"/>
        <v>339310.5167</v>
      </c>
      <c r="H15" s="21">
        <f t="shared" si="12"/>
        <v>455025.9065</v>
      </c>
      <c r="I15" s="21">
        <f t="shared" si="12"/>
        <v>269769.8591</v>
      </c>
      <c r="J15" s="21">
        <f t="shared" si="12"/>
        <v>542850.093</v>
      </c>
      <c r="K15" s="21">
        <f t="shared" si="12"/>
        <v>586007.7108</v>
      </c>
      <c r="L15" s="21">
        <f t="shared" si="12"/>
        <v>609984.5009</v>
      </c>
      <c r="M15" s="21">
        <f t="shared" si="12"/>
        <v>677722.8268</v>
      </c>
      <c r="N15" s="21">
        <f t="shared" si="12"/>
        <v>684563.6284</v>
      </c>
      <c r="O15" s="21">
        <f t="shared" si="7"/>
        <v>5269767.578</v>
      </c>
      <c r="P15" s="26"/>
      <c r="Q15" s="26">
        <f>O15/$O$7</f>
        <v>0.2204621955</v>
      </c>
    </row>
    <row r="16">
      <c r="B16" s="16" t="s">
        <v>76</v>
      </c>
      <c r="C16" s="23">
        <f>'Tributário'!F14</f>
        <v>35848.68418</v>
      </c>
      <c r="D16" s="23">
        <f>'Tributário'!G14</f>
        <v>107910.504</v>
      </c>
      <c r="E16" s="23">
        <f>'Tributário'!H14</f>
        <v>109899.6472</v>
      </c>
      <c r="F16" s="23">
        <f>'Tributário'!I14</f>
        <v>121882.2269</v>
      </c>
      <c r="G16" s="23">
        <f>'Tributário'!J14</f>
        <v>115365.5757</v>
      </c>
      <c r="H16" s="23">
        <f>'Tributário'!K14</f>
        <v>154708.8082</v>
      </c>
      <c r="I16" s="23">
        <f>'Tributário'!L14</f>
        <v>91721.7521</v>
      </c>
      <c r="J16" s="23">
        <f>'Tributário'!M14</f>
        <v>184569.0316</v>
      </c>
      <c r="K16" s="23">
        <f>'Tributário'!N14</f>
        <v>199242.6217</v>
      </c>
      <c r="L16" s="23">
        <f>'Tributário'!O14</f>
        <v>207394.7303</v>
      </c>
      <c r="M16" s="23">
        <f>'Tributário'!P14</f>
        <v>230425.7611</v>
      </c>
      <c r="N16" s="23">
        <f>'Tributário'!Q14</f>
        <v>232751.6337</v>
      </c>
      <c r="O16" s="23">
        <f t="shared" si="7"/>
        <v>1791720.977</v>
      </c>
      <c r="P16" s="25">
        <f t="shared" ref="P16:P18" si="13">O16/$O$7</f>
        <v>0.07495714648</v>
      </c>
      <c r="Q16" s="12"/>
    </row>
    <row r="17">
      <c r="B17" s="16" t="s">
        <v>77</v>
      </c>
      <c r="C17" s="24">
        <f>'CAPEX e Giro'!D5</f>
        <v>32500</v>
      </c>
      <c r="D17" s="24">
        <f>'CAPEX e Giro'!E5</f>
        <v>32500</v>
      </c>
      <c r="E17" s="24">
        <f>'CAPEX e Giro'!F5</f>
        <v>32500</v>
      </c>
      <c r="F17" s="24">
        <f>'CAPEX e Giro'!G5</f>
        <v>32500</v>
      </c>
      <c r="G17" s="24">
        <f>'CAPEX e Giro'!H5</f>
        <v>32500</v>
      </c>
      <c r="H17" s="24">
        <f>'CAPEX e Giro'!I5</f>
        <v>32500</v>
      </c>
      <c r="I17" s="24">
        <f>'CAPEX e Giro'!J5</f>
        <v>32500</v>
      </c>
      <c r="J17" s="24">
        <f>'CAPEX e Giro'!K5</f>
        <v>32500</v>
      </c>
      <c r="K17" s="24">
        <f>'CAPEX e Giro'!L5</f>
        <v>32500</v>
      </c>
      <c r="L17" s="24">
        <f>'CAPEX e Giro'!M5</f>
        <v>32500</v>
      </c>
      <c r="M17" s="24">
        <f>'CAPEX e Giro'!N5</f>
        <v>32500</v>
      </c>
      <c r="N17" s="24">
        <f>'CAPEX e Giro'!O5</f>
        <v>32500</v>
      </c>
      <c r="O17" s="23">
        <f t="shared" si="7"/>
        <v>390000</v>
      </c>
      <c r="P17" s="25">
        <f t="shared" si="13"/>
        <v>0.01631575871</v>
      </c>
      <c r="Q17" s="12"/>
    </row>
    <row r="18">
      <c r="B18" s="9" t="s">
        <v>78</v>
      </c>
      <c r="C18" s="21">
        <f t="shared" ref="C18:O18" si="14">C15-C16-C17</f>
        <v>37088.62223</v>
      </c>
      <c r="D18" s="21">
        <f t="shared" si="14"/>
        <v>176973.3313</v>
      </c>
      <c r="E18" s="21">
        <f t="shared" si="14"/>
        <v>180834.6093</v>
      </c>
      <c r="F18" s="21">
        <f t="shared" si="14"/>
        <v>204094.9109</v>
      </c>
      <c r="G18" s="21">
        <f t="shared" si="14"/>
        <v>191444.941</v>
      </c>
      <c r="H18" s="21">
        <f t="shared" si="14"/>
        <v>267817.0983</v>
      </c>
      <c r="I18" s="21">
        <f t="shared" si="14"/>
        <v>145548.107</v>
      </c>
      <c r="J18" s="21">
        <f t="shared" si="14"/>
        <v>325781.0614</v>
      </c>
      <c r="K18" s="21">
        <f t="shared" si="14"/>
        <v>354265.0891</v>
      </c>
      <c r="L18" s="21">
        <f t="shared" si="14"/>
        <v>370089.7706</v>
      </c>
      <c r="M18" s="21">
        <f t="shared" si="14"/>
        <v>414797.0657</v>
      </c>
      <c r="N18" s="21">
        <f t="shared" si="14"/>
        <v>419311.9948</v>
      </c>
      <c r="O18" s="21">
        <f t="shared" si="14"/>
        <v>3088046.602</v>
      </c>
      <c r="P18" s="27">
        <f t="shared" si="13"/>
        <v>0.1291892903</v>
      </c>
    </row>
    <row r="19">
      <c r="B19" s="16" t="s">
        <v>79</v>
      </c>
      <c r="C19" s="25">
        <f t="shared" ref="C19:N19" si="15">C18/C4</f>
        <v>0.03209746623</v>
      </c>
      <c r="D19" s="25">
        <f t="shared" si="15"/>
        <v>0.1414084093</v>
      </c>
      <c r="E19" s="25">
        <f t="shared" si="15"/>
        <v>0.1350651445</v>
      </c>
      <c r="F19" s="25">
        <f t="shared" si="15"/>
        <v>0.141893065</v>
      </c>
      <c r="G19" s="25">
        <f t="shared" si="15"/>
        <v>0.1252159741</v>
      </c>
      <c r="H19" s="25">
        <f t="shared" si="15"/>
        <v>0.1662102408</v>
      </c>
      <c r="I19" s="25">
        <f t="shared" si="15"/>
        <v>0.08530057561</v>
      </c>
      <c r="J19" s="25">
        <f t="shared" si="15"/>
        <v>0.1817234219</v>
      </c>
      <c r="K19" s="25">
        <f t="shared" si="15"/>
        <v>0.1893064185</v>
      </c>
      <c r="L19" s="25">
        <f t="shared" si="15"/>
        <v>0.1885365967</v>
      </c>
      <c r="M19" s="25">
        <f t="shared" si="15"/>
        <v>0.2027065385</v>
      </c>
      <c r="N19" s="25">
        <f t="shared" si="15"/>
        <v>0.1975904287</v>
      </c>
      <c r="P19" s="26"/>
    </row>
    <row r="20">
      <c r="O20" s="11"/>
    </row>
    <row r="21">
      <c r="B21" s="14" t="s">
        <v>80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11"/>
      <c r="P21" s="12"/>
      <c r="Q21" s="12"/>
    </row>
    <row r="22">
      <c r="B22" s="17" t="s">
        <v>81</v>
      </c>
      <c r="C22" s="23">
        <f t="shared" ref="C22:N22" si="16">C7</f>
        <v>1412333.333</v>
      </c>
      <c r="D22" s="23">
        <f t="shared" si="16"/>
        <v>1541671.667</v>
      </c>
      <c r="E22" s="23">
        <f t="shared" si="16"/>
        <v>1612369.55</v>
      </c>
      <c r="F22" s="23">
        <f t="shared" si="16"/>
        <v>1729537.957</v>
      </c>
      <c r="G22" s="23">
        <f t="shared" si="16"/>
        <v>1836751.208</v>
      </c>
      <c r="H22" s="23">
        <f t="shared" si="16"/>
        <v>1935815.266</v>
      </c>
      <c r="I22" s="23">
        <f t="shared" si="16"/>
        <v>2052963.558</v>
      </c>
      <c r="J22" s="23">
        <f t="shared" si="16"/>
        <v>2156063.505</v>
      </c>
      <c r="K22" s="23">
        <f t="shared" si="16"/>
        <v>2251384.456</v>
      </c>
      <c r="L22" s="23">
        <f t="shared" si="16"/>
        <v>2360626.522</v>
      </c>
      <c r="M22" s="23">
        <f t="shared" si="16"/>
        <v>2460626.801</v>
      </c>
      <c r="N22" s="23">
        <f t="shared" si="16"/>
        <v>2553127.056</v>
      </c>
      <c r="O22" s="11"/>
      <c r="P22" s="12"/>
      <c r="Q22" s="12"/>
    </row>
    <row r="23">
      <c r="B23" s="17" t="s">
        <v>82</v>
      </c>
      <c r="C23" s="23">
        <f t="shared" ref="C23:N23" si="17">C9+C11+C13+C14+C16+C17</f>
        <v>1290504.711</v>
      </c>
      <c r="D23" s="23">
        <f t="shared" si="17"/>
        <v>1272198.035</v>
      </c>
      <c r="E23" s="23">
        <f t="shared" si="17"/>
        <v>1334792.768</v>
      </c>
      <c r="F23" s="23">
        <f t="shared" si="17"/>
        <v>1421670.769</v>
      </c>
      <c r="G23" s="23">
        <f t="shared" si="17"/>
        <v>1535101.194</v>
      </c>
      <c r="H23" s="23">
        <f t="shared" si="17"/>
        <v>1551849.251</v>
      </c>
      <c r="I23" s="23">
        <f t="shared" si="17"/>
        <v>1784237.638</v>
      </c>
      <c r="J23" s="23">
        <f t="shared" si="17"/>
        <v>1700918.633</v>
      </c>
      <c r="K23" s="23">
        <f t="shared" si="17"/>
        <v>1762036.3</v>
      </c>
      <c r="L23" s="23">
        <f t="shared" si="17"/>
        <v>1848899.16</v>
      </c>
      <c r="M23" s="23">
        <f t="shared" si="17"/>
        <v>1898192.128</v>
      </c>
      <c r="N23" s="23">
        <f t="shared" si="17"/>
        <v>1980627.438</v>
      </c>
      <c r="O23" s="11"/>
      <c r="P23" s="12"/>
      <c r="Q23" s="12"/>
    </row>
    <row r="24">
      <c r="B24" s="17" t="s">
        <v>83</v>
      </c>
      <c r="C24" s="23">
        <f>CAC!Q6</f>
        <v>200000</v>
      </c>
      <c r="D24" s="23">
        <f>CAC!R6</f>
        <v>200000</v>
      </c>
      <c r="E24" s="23">
        <f>CAC!S6</f>
        <v>200000</v>
      </c>
      <c r="F24" s="23">
        <f>CAC!T6</f>
        <v>220000</v>
      </c>
      <c r="G24" s="23">
        <f>CAC!U6</f>
        <v>220000</v>
      </c>
      <c r="H24" s="23">
        <f>CAC!V6</f>
        <v>220000</v>
      </c>
      <c r="I24" s="23">
        <f>CAC!W6</f>
        <v>240000</v>
      </c>
      <c r="J24" s="23">
        <f>CAC!X6</f>
        <v>240000</v>
      </c>
      <c r="K24" s="23">
        <f>CAC!Y6</f>
        <v>240000</v>
      </c>
      <c r="L24" s="23">
        <f>CAC!Z6</f>
        <v>260000</v>
      </c>
      <c r="M24" s="23">
        <f>CAC!AA6</f>
        <v>260000</v>
      </c>
      <c r="N24" s="23">
        <f>CAC!AB6</f>
        <v>260000</v>
      </c>
      <c r="O24" s="11"/>
      <c r="P24" s="12"/>
      <c r="Q24" s="12"/>
    </row>
    <row r="25">
      <c r="B25" s="17" t="s">
        <v>84</v>
      </c>
      <c r="C25" s="23">
        <f>CAC!Q35</f>
        <v>250000</v>
      </c>
      <c r="D25" s="23">
        <f>CAC!R35</f>
        <v>250000</v>
      </c>
      <c r="E25" s="23">
        <f>CAC!S35</f>
        <v>250000</v>
      </c>
      <c r="F25" s="23">
        <f>CAC!T35</f>
        <v>300000</v>
      </c>
      <c r="G25" s="23">
        <f>CAC!U35</f>
        <v>300000</v>
      </c>
      <c r="H25" s="23">
        <f>CAC!V35</f>
        <v>300000</v>
      </c>
      <c r="I25" s="23">
        <f>CAC!W35</f>
        <v>350000</v>
      </c>
      <c r="J25" s="23">
        <f>CAC!X35</f>
        <v>350000</v>
      </c>
      <c r="K25" s="23">
        <f>CAC!Y35</f>
        <v>350000</v>
      </c>
      <c r="L25" s="23">
        <f>CAC!Z35</f>
        <v>400000</v>
      </c>
      <c r="M25" s="23">
        <f>CAC!AA35</f>
        <v>400000</v>
      </c>
      <c r="N25" s="23">
        <f>CAC!AB35</f>
        <v>400000</v>
      </c>
      <c r="O25" s="11"/>
      <c r="P25" s="12"/>
      <c r="Q25" s="12"/>
      <c r="R25" s="28"/>
    </row>
    <row r="26">
      <c r="B26" s="17" t="s">
        <v>85</v>
      </c>
      <c r="C26" s="29">
        <f>CSV!D7+count('SG&amp;A'!C20:C22)+count('SG&amp;A'!C28:C37)+count(CAC!C21:C38)+count(CAC!C44:C60)+count(CAC!C66:C71)+count(CAC!C77:C86)</f>
        <v>126</v>
      </c>
      <c r="D26" s="29">
        <f>CSV!E7+count('SG&amp;A'!D20:D22)+count('SG&amp;A'!D28:D37)+count(CAC!D21:D38)+count(CAC!D44:D60)+count(CAC!D66:D71)+count(CAC!D77:D86)</f>
        <v>129</v>
      </c>
      <c r="E26" s="29">
        <f>CSV!F7+count('SG&amp;A'!E20:E22)+count('SG&amp;A'!E28:E37)+count(CAC!E21:E38)+count(CAC!E44:E60)+count(CAC!E66:E71)+count(CAC!E77:E86)</f>
        <v>138</v>
      </c>
      <c r="F26" s="29">
        <f>CSV!G7+count('SG&amp;A'!F20:F22)+count('SG&amp;A'!F28:F37)+count(CAC!F21:F38)+count(CAC!F44:F60)+count(CAC!F66:F71)+count(CAC!F77:F86)</f>
        <v>143</v>
      </c>
      <c r="G26" s="29">
        <f>CSV!H7+count('SG&amp;A'!G20:G22)+count('SG&amp;A'!G28:G37)+count(CAC!G21:G38)+count(CAC!G44:G60)+count(CAC!G66:G71)+count(CAC!G77:G86)</f>
        <v>147</v>
      </c>
      <c r="H26" s="29">
        <f>CSV!I7+count('SG&amp;A'!H20:H22)+count('SG&amp;A'!H28:H37)+count(CAC!H21:H38)+count(CAC!H44:H60)+count(CAC!H66:H71)+count(CAC!H77:H86)</f>
        <v>152</v>
      </c>
      <c r="I26" s="29">
        <f>CSV!J7+count('SG&amp;A'!I20:I22)+count('SG&amp;A'!I28:I37)+count(CAC!I21:I38)+count(CAC!I44:I60)+count(CAC!I66:I71)+count(CAC!I77:I86)</f>
        <v>159</v>
      </c>
      <c r="J26" s="29">
        <f>CSV!K7+count('SG&amp;A'!J20:J22)+count('SG&amp;A'!J28:J37)+count(CAC!J21:J38)+count(CAC!J44:J60)+count(CAC!J66:J71)+count(CAC!J77:J86)</f>
        <v>164</v>
      </c>
      <c r="K26" s="29">
        <f>CSV!L7+count('SG&amp;A'!K20:K22)+count('SG&amp;A'!K28:K37)+count(CAC!K21:K38)+count(CAC!K44:K60)+count(CAC!K66:K71)+count(CAC!K77:K86)</f>
        <v>168</v>
      </c>
      <c r="L26" s="29">
        <f>CSV!M7+count('SG&amp;A'!L20:L22)+count('SG&amp;A'!L28:L37)+count(CAC!L21:L38)+count(CAC!L44:L60)+count(CAC!L66:L71)+count(CAC!L77:L86)</f>
        <v>174</v>
      </c>
      <c r="M26" s="29">
        <f>CSV!N7+count('SG&amp;A'!M20:M22)+count('SG&amp;A'!M28:M37)+count(CAC!M21:M38)+count(CAC!M44:M60)+count(CAC!M66:M71)+count(CAC!M77:M86)</f>
        <v>177</v>
      </c>
      <c r="N26" s="29">
        <f>CSV!O7+count('SG&amp;A'!N20:N22)+count('SG&amp;A'!N28:N37)+count(CAC!N21:N38)+count(CAC!N44:N60)+count(CAC!N66:N71)+count(CAC!N77:N86)</f>
        <v>180</v>
      </c>
      <c r="O26" s="11"/>
      <c r="P26" s="12"/>
      <c r="Q26" s="12"/>
    </row>
    <row r="27">
      <c r="B27" s="17" t="s">
        <v>86</v>
      </c>
      <c r="C27" s="23">
        <f t="shared" ref="C27:N27" si="18">C7/C26</f>
        <v>11208.99471</v>
      </c>
      <c r="D27" s="23">
        <f t="shared" si="18"/>
        <v>11950.94315</v>
      </c>
      <c r="E27" s="23">
        <f t="shared" si="18"/>
        <v>11683.83732</v>
      </c>
      <c r="F27" s="23">
        <f t="shared" si="18"/>
        <v>12094.67103</v>
      </c>
      <c r="G27" s="23">
        <f t="shared" si="18"/>
        <v>12494.90617</v>
      </c>
      <c r="H27" s="23">
        <f t="shared" si="18"/>
        <v>12735.62675</v>
      </c>
      <c r="I27" s="23">
        <f t="shared" si="18"/>
        <v>12911.72049</v>
      </c>
      <c r="J27" s="23">
        <f t="shared" si="18"/>
        <v>13146.72869</v>
      </c>
      <c r="K27" s="23">
        <f t="shared" si="18"/>
        <v>13401.09795</v>
      </c>
      <c r="L27" s="23">
        <f t="shared" si="18"/>
        <v>13566.81909</v>
      </c>
      <c r="M27" s="23">
        <f t="shared" si="18"/>
        <v>13901.84634</v>
      </c>
      <c r="N27" s="23">
        <f t="shared" si="18"/>
        <v>14184.0392</v>
      </c>
      <c r="O27" s="11"/>
      <c r="P27" s="12"/>
      <c r="Q27" s="12"/>
    </row>
    <row r="28">
      <c r="B28" s="17" t="s">
        <v>87</v>
      </c>
      <c r="C28" s="23">
        <f t="shared" ref="C28:N28" si="19">C4/C26</f>
        <v>9170.634921</v>
      </c>
      <c r="D28" s="23">
        <f t="shared" si="19"/>
        <v>9701.589147</v>
      </c>
      <c r="E28" s="23">
        <f t="shared" si="19"/>
        <v>9701.953261</v>
      </c>
      <c r="F28" s="23">
        <f t="shared" si="19"/>
        <v>10058.54049</v>
      </c>
      <c r="G28" s="23">
        <f t="shared" si="19"/>
        <v>10400.80187</v>
      </c>
      <c r="H28" s="23">
        <f t="shared" si="19"/>
        <v>10600.75833</v>
      </c>
      <c r="I28" s="23">
        <f t="shared" si="19"/>
        <v>10731.42699</v>
      </c>
      <c r="J28" s="23">
        <f t="shared" si="19"/>
        <v>10931.28153</v>
      </c>
      <c r="K28" s="23">
        <f t="shared" si="19"/>
        <v>11139.19319</v>
      </c>
      <c r="L28" s="23">
        <f t="shared" si="19"/>
        <v>11281.37848</v>
      </c>
      <c r="M28" s="23">
        <f t="shared" si="19"/>
        <v>11560.98005</v>
      </c>
      <c r="N28" s="23">
        <f t="shared" si="19"/>
        <v>11789.59476</v>
      </c>
      <c r="O28" s="11"/>
      <c r="P28" s="12"/>
      <c r="Q28" s="12"/>
    </row>
    <row r="29">
      <c r="B29" s="17" t="s">
        <v>88</v>
      </c>
      <c r="C29" s="30">
        <f t="shared" ref="C29:N29" si="20">C30/1.43</f>
        <v>305.5194805</v>
      </c>
      <c r="D29" s="30">
        <f t="shared" si="20"/>
        <v>328.9017512</v>
      </c>
      <c r="E29" s="30">
        <f t="shared" si="20"/>
        <v>345.5503941</v>
      </c>
      <c r="F29" s="30">
        <f t="shared" si="20"/>
        <v>365.9387298</v>
      </c>
      <c r="G29" s="30">
        <f t="shared" si="20"/>
        <v>384.9466841</v>
      </c>
      <c r="H29" s="30">
        <f t="shared" si="20"/>
        <v>401.2901496</v>
      </c>
      <c r="I29" s="30">
        <f t="shared" si="20"/>
        <v>421.4263729</v>
      </c>
      <c r="J29" s="30">
        <f t="shared" si="20"/>
        <v>440.2145222</v>
      </c>
      <c r="K29" s="30">
        <f t="shared" si="20"/>
        <v>456.3739978</v>
      </c>
      <c r="L29" s="30">
        <f t="shared" si="20"/>
        <v>476.3549274</v>
      </c>
      <c r="M29" s="30">
        <f t="shared" si="20"/>
        <v>495.0059289</v>
      </c>
      <c r="N29" s="30">
        <f t="shared" si="20"/>
        <v>511.0495514</v>
      </c>
      <c r="O29" s="11"/>
      <c r="P29" s="12"/>
      <c r="Q29" s="12"/>
    </row>
    <row r="30">
      <c r="B30" s="17" t="s">
        <v>89</v>
      </c>
      <c r="C30" s="31">
        <f>CSV!C12+CSV!C85+CSV!C141+CSV!C202+CSV!C225+CAC!Q39+CAC!Q44+CAC!Q49+CAC!Q54+CAC!Q59+CAC!Q64</f>
        <v>436.8928571</v>
      </c>
      <c r="D30" s="31">
        <f>CSV!D12+CSV!D85+CSV!D141+CSV!D202+CSV!D225+CAC!R39+CAC!R44+CAC!R49+CAC!R54+CAC!R59+CAC!R64</f>
        <v>470.3295041</v>
      </c>
      <c r="E30" s="31">
        <f>CSV!E12+CSV!E85+CSV!E141+CSV!E202+CSV!E225+CAC!S39+CAC!S44+CAC!S49+CAC!S54+CAC!S59+CAC!S64</f>
        <v>494.1370636</v>
      </c>
      <c r="F30" s="31">
        <f>CSV!F12+CSV!F85+CSV!F141+CSV!F202+CSV!F225+CAC!T39+CAC!T44+CAC!T49+CAC!T54+CAC!T59+CAC!T64</f>
        <v>523.2923836</v>
      </c>
      <c r="G30" s="31">
        <f>CSV!G12+CSV!G85+CSV!G141+CSV!G202+CSV!G225+CAC!U39+CAC!U44+CAC!U49+CAC!U54+CAC!U59+CAC!U64</f>
        <v>550.4737582</v>
      </c>
      <c r="H30" s="31">
        <f>CSV!H12+CSV!H85+CSV!H141+CSV!H202+CSV!H225+CAC!V39+CAC!V44+CAC!V49+CAC!V54+CAC!V59+CAC!V64</f>
        <v>573.8449139</v>
      </c>
      <c r="I30" s="31">
        <f>CSV!I12+CSV!I85+CSV!I141+CSV!I202+CSV!I225+CAC!W39+CAC!W44+CAC!W49+CAC!W54+CAC!W59+CAC!W64</f>
        <v>602.6397132</v>
      </c>
      <c r="J30" s="31">
        <f>CSV!J12+CSV!J85+CSV!J141+CSV!J202+CSV!J225+CAC!X39+CAC!X44+CAC!X49+CAC!X54+CAC!X59+CAC!X64</f>
        <v>629.5067668</v>
      </c>
      <c r="K30" s="31">
        <f>CSV!K12+CSV!K85+CSV!K141+CSV!K202+CSV!K225+CAC!Y39+CAC!Y44+CAC!Y49+CAC!Y54+CAC!Y59+CAC!Y64</f>
        <v>652.6148168</v>
      </c>
      <c r="L30" s="31">
        <f>CSV!L12+CSV!L85+CSV!L141+CSV!L202+CSV!L225+CAC!Z39+CAC!Z44+CAC!Z49+CAC!Z54+CAC!Z59+CAC!Z64</f>
        <v>681.1875462</v>
      </c>
      <c r="M30" s="31">
        <f>CSV!M12+CSV!M85+CSV!M141+CSV!M202+CSV!M225+CAC!AA39+CAC!AA44+CAC!AA49+CAC!AA54+CAC!AA59+CAC!AA64</f>
        <v>707.8584783</v>
      </c>
      <c r="N30" s="31">
        <f>CSV!N12+CSV!N85+CSV!N141+CSV!N202+CSV!N225+CAC!AB39+CAC!AB44+CAC!AB49+CAC!AB54+CAC!AB59+CAC!AB64</f>
        <v>730.8008584</v>
      </c>
      <c r="O30" s="11"/>
      <c r="P30" s="12"/>
      <c r="Q30" s="12"/>
    </row>
    <row r="31">
      <c r="B31" s="17" t="s">
        <v>90</v>
      </c>
      <c r="C31" s="23">
        <f t="shared" ref="C31:N31" si="21">C7/C29</f>
        <v>4622.727595</v>
      </c>
      <c r="D31" s="23">
        <f t="shared" si="21"/>
        <v>4687.331889</v>
      </c>
      <c r="E31" s="23">
        <f t="shared" si="21"/>
        <v>4666.090902</v>
      </c>
      <c r="F31" s="23">
        <f t="shared" si="21"/>
        <v>4726.304751</v>
      </c>
      <c r="G31" s="23">
        <f t="shared" si="21"/>
        <v>4771.443121</v>
      </c>
      <c r="H31" s="23">
        <f t="shared" si="21"/>
        <v>4823.979028</v>
      </c>
      <c r="I31" s="23">
        <f t="shared" si="21"/>
        <v>4871.464366</v>
      </c>
      <c r="J31" s="23">
        <f t="shared" si="21"/>
        <v>4897.756426</v>
      </c>
      <c r="K31" s="23">
        <f t="shared" si="21"/>
        <v>4933.200548</v>
      </c>
      <c r="L31" s="23">
        <f t="shared" si="21"/>
        <v>4955.60429</v>
      </c>
      <c r="M31" s="23">
        <f t="shared" si="21"/>
        <v>4970.903696</v>
      </c>
      <c r="N31" s="23">
        <f t="shared" si="21"/>
        <v>4995.850303</v>
      </c>
      <c r="O31" s="11"/>
      <c r="P31" s="12"/>
      <c r="Q31" s="12"/>
    </row>
    <row r="32">
      <c r="B32" s="17" t="s">
        <v>91</v>
      </c>
      <c r="C32" s="23">
        <f t="shared" ref="C32:N32" si="22">C7/C30</f>
        <v>3232.67664</v>
      </c>
      <c r="D32" s="23">
        <f t="shared" si="22"/>
        <v>3277.854468</v>
      </c>
      <c r="E32" s="23">
        <f t="shared" si="22"/>
        <v>3263.000631</v>
      </c>
      <c r="F32" s="23">
        <f t="shared" si="22"/>
        <v>3305.108217</v>
      </c>
      <c r="G32" s="23">
        <f t="shared" si="22"/>
        <v>3336.673511</v>
      </c>
      <c r="H32" s="23">
        <f t="shared" si="22"/>
        <v>3373.411907</v>
      </c>
      <c r="I32" s="23">
        <f t="shared" si="22"/>
        <v>3406.618438</v>
      </c>
      <c r="J32" s="23">
        <f t="shared" si="22"/>
        <v>3425.004493</v>
      </c>
      <c r="K32" s="23">
        <f t="shared" si="22"/>
        <v>3449.790593</v>
      </c>
      <c r="L32" s="23">
        <f t="shared" si="22"/>
        <v>3465.457545</v>
      </c>
      <c r="M32" s="23">
        <f t="shared" si="22"/>
        <v>3476.156431</v>
      </c>
      <c r="N32" s="23">
        <f t="shared" si="22"/>
        <v>3493.60161</v>
      </c>
      <c r="O32" s="11"/>
      <c r="P32" s="12"/>
      <c r="Q32" s="12"/>
    </row>
    <row r="33">
      <c r="B33" s="17" t="s">
        <v>92</v>
      </c>
      <c r="C33" s="23">
        <f>Revenue!D32</f>
        <v>103995</v>
      </c>
      <c r="D33" s="23">
        <f>Revenue!E32</f>
        <v>112635.45</v>
      </c>
      <c r="E33" s="23">
        <f>Revenue!F32</f>
        <v>120498.2595</v>
      </c>
      <c r="F33" s="23">
        <f>Revenue!G32</f>
        <v>129453.4161</v>
      </c>
      <c r="G33" s="23">
        <f>Revenue!H32</f>
        <v>137602.6087</v>
      </c>
      <c r="H33" s="23">
        <f>Revenue!I32</f>
        <v>145018.3739</v>
      </c>
      <c r="I33" s="23">
        <f>Revenue!J32</f>
        <v>153566.7203</v>
      </c>
      <c r="J33" s="23">
        <f>Revenue!K32</f>
        <v>161345.7154</v>
      </c>
      <c r="K33" s="23">
        <f>Revenue!L32</f>
        <v>168424.601</v>
      </c>
      <c r="L33" s="23">
        <f>Revenue!M32</f>
        <v>176666.387</v>
      </c>
      <c r="M33" s="23">
        <f>Revenue!N32</f>
        <v>184166.4121</v>
      </c>
      <c r="N33" s="23">
        <f>Revenue!O32</f>
        <v>190991.435</v>
      </c>
      <c r="O33" s="11"/>
      <c r="P33" s="12"/>
      <c r="Q33" s="12"/>
    </row>
    <row r="34">
      <c r="B34" s="17" t="s">
        <v>93</v>
      </c>
      <c r="C34" s="27">
        <f t="shared" ref="C34:N34" si="23">(C16+C9)/C7</f>
        <v>0.1277656565</v>
      </c>
      <c r="D34" s="27">
        <f t="shared" si="23"/>
        <v>0.1720304171</v>
      </c>
      <c r="E34" s="27">
        <f t="shared" si="23"/>
        <v>0.1700281528</v>
      </c>
      <c r="F34" s="27">
        <f t="shared" si="23"/>
        <v>0.1720355527</v>
      </c>
      <c r="G34" s="27">
        <f t="shared" si="23"/>
        <v>0.1641795163</v>
      </c>
      <c r="H34" s="27">
        <f t="shared" si="23"/>
        <v>0.1811284506</v>
      </c>
      <c r="I34" s="27">
        <f t="shared" si="23"/>
        <v>0.145453812</v>
      </c>
      <c r="J34" s="27">
        <f t="shared" si="23"/>
        <v>0.1862589677</v>
      </c>
      <c r="K34" s="27">
        <f t="shared" si="23"/>
        <v>0.1890495107</v>
      </c>
      <c r="L34" s="27">
        <f t="shared" si="23"/>
        <v>0.1882584358</v>
      </c>
      <c r="M34" s="27">
        <f t="shared" si="23"/>
        <v>0.1939594881</v>
      </c>
      <c r="N34" s="27">
        <f t="shared" si="23"/>
        <v>0.1914021812</v>
      </c>
      <c r="O34" s="11"/>
      <c r="P34" s="12"/>
      <c r="Q34" s="12"/>
    </row>
    <row r="35">
      <c r="B35" s="17" t="s">
        <v>94</v>
      </c>
      <c r="C35" s="23">
        <f t="shared" ref="C35:N35" si="24">C18</f>
        <v>37088.62223</v>
      </c>
      <c r="D35" s="23">
        <f t="shared" si="24"/>
        <v>176973.3313</v>
      </c>
      <c r="E35" s="23">
        <f t="shared" si="24"/>
        <v>180834.6093</v>
      </c>
      <c r="F35" s="23">
        <f t="shared" si="24"/>
        <v>204094.9109</v>
      </c>
      <c r="G35" s="23">
        <f t="shared" si="24"/>
        <v>191444.941</v>
      </c>
      <c r="H35" s="23">
        <f t="shared" si="24"/>
        <v>267817.0983</v>
      </c>
      <c r="I35" s="23">
        <f t="shared" si="24"/>
        <v>145548.107</v>
      </c>
      <c r="J35" s="23">
        <f t="shared" si="24"/>
        <v>325781.0614</v>
      </c>
      <c r="K35" s="23">
        <f t="shared" si="24"/>
        <v>354265.0891</v>
      </c>
      <c r="L35" s="23">
        <f t="shared" si="24"/>
        <v>370089.7706</v>
      </c>
      <c r="M35" s="23">
        <f t="shared" si="24"/>
        <v>414797.0657</v>
      </c>
      <c r="N35" s="23">
        <f t="shared" si="24"/>
        <v>419311.9948</v>
      </c>
      <c r="O35" s="11"/>
      <c r="P35" s="12"/>
      <c r="Q35" s="12"/>
    </row>
    <row r="36">
      <c r="B36" s="17" t="s">
        <v>95</v>
      </c>
      <c r="C36" s="27">
        <f t="shared" ref="C36:N36" si="25">C19</f>
        <v>0.03209746623</v>
      </c>
      <c r="D36" s="27">
        <f t="shared" si="25"/>
        <v>0.1414084093</v>
      </c>
      <c r="E36" s="27">
        <f t="shared" si="25"/>
        <v>0.1350651445</v>
      </c>
      <c r="F36" s="27">
        <f t="shared" si="25"/>
        <v>0.141893065</v>
      </c>
      <c r="G36" s="27">
        <f t="shared" si="25"/>
        <v>0.1252159741</v>
      </c>
      <c r="H36" s="27">
        <f t="shared" si="25"/>
        <v>0.1662102408</v>
      </c>
      <c r="I36" s="27">
        <f t="shared" si="25"/>
        <v>0.08530057561</v>
      </c>
      <c r="J36" s="27">
        <f t="shared" si="25"/>
        <v>0.1817234219</v>
      </c>
      <c r="K36" s="27">
        <f t="shared" si="25"/>
        <v>0.1893064185</v>
      </c>
      <c r="L36" s="27">
        <f t="shared" si="25"/>
        <v>0.1885365967</v>
      </c>
      <c r="M36" s="27">
        <f t="shared" si="25"/>
        <v>0.2027065385</v>
      </c>
      <c r="N36" s="27">
        <f t="shared" si="25"/>
        <v>0.1975904287</v>
      </c>
      <c r="O36" s="11"/>
      <c r="P36" s="12"/>
      <c r="Q36" s="12"/>
    </row>
    <row r="37">
      <c r="B37" s="17" t="s">
        <v>96</v>
      </c>
      <c r="C37" s="23">
        <f>650000+C35</f>
        <v>687088.6222</v>
      </c>
      <c r="D37" s="23">
        <f t="shared" ref="D37:N37" si="26">C37+D35</f>
        <v>864061.9535</v>
      </c>
      <c r="E37" s="23">
        <f t="shared" si="26"/>
        <v>1044896.563</v>
      </c>
      <c r="F37" s="23">
        <f t="shared" si="26"/>
        <v>1248991.474</v>
      </c>
      <c r="G37" s="23">
        <f t="shared" si="26"/>
        <v>1440436.415</v>
      </c>
      <c r="H37" s="23">
        <f t="shared" si="26"/>
        <v>1708253.513</v>
      </c>
      <c r="I37" s="23">
        <f t="shared" si="26"/>
        <v>1853801.62</v>
      </c>
      <c r="J37" s="23">
        <f t="shared" si="26"/>
        <v>2179582.681</v>
      </c>
      <c r="K37" s="23">
        <f t="shared" si="26"/>
        <v>2533847.771</v>
      </c>
      <c r="L37" s="23">
        <f t="shared" si="26"/>
        <v>2903937.541</v>
      </c>
      <c r="M37" s="23">
        <f t="shared" si="26"/>
        <v>3318734.607</v>
      </c>
      <c r="N37" s="23">
        <f t="shared" si="26"/>
        <v>3738046.602</v>
      </c>
      <c r="O37" s="11"/>
      <c r="P37" s="12"/>
      <c r="Q37" s="12"/>
    </row>
    <row r="38">
      <c r="O38" s="11"/>
      <c r="P38" s="12"/>
      <c r="Q38" s="12"/>
    </row>
    <row r="39">
      <c r="B39" s="17" t="s">
        <v>85</v>
      </c>
      <c r="C39" s="29">
        <f>CSV!D7+count('SG&amp;A'!C20:C22)+count('SG&amp;A'!C28:C37)+count(CAC!C21:C38)+count(CAC!C44:C60)+count(CAC!C66:C71)+count(CAC!C77:C86)</f>
        <v>126</v>
      </c>
      <c r="D39" s="29">
        <f>CSV!E7+count('SG&amp;A'!D20:D22)+count('SG&amp;A'!D28:D37)+count(CAC!D21:D38)+count(CAC!D44:D60)+count(CAC!D66:D71)+count(CAC!D77:D86)</f>
        <v>129</v>
      </c>
      <c r="E39" s="29">
        <f>CSV!F7+count('SG&amp;A'!E20:E22)+count('SG&amp;A'!E28:E37)+count(CAC!E21:E38)+count(CAC!E44:E60)+count(CAC!E66:E71)+count(CAC!E77:E86)</f>
        <v>138</v>
      </c>
      <c r="F39" s="29">
        <f>CSV!G7+count('SG&amp;A'!F20:F22)+count('SG&amp;A'!F28:F37)+count(CAC!F21:F38)+count(CAC!F44:F60)+count(CAC!F66:F71)+count(CAC!F77:F86)</f>
        <v>143</v>
      </c>
      <c r="G39" s="29">
        <f>CSV!H7+count('SG&amp;A'!G20:G22)+count('SG&amp;A'!G28:G37)+count(CAC!G21:G38)+count(CAC!G44:G60)+count(CAC!G66:G71)+count(CAC!G77:G86)</f>
        <v>147</v>
      </c>
      <c r="H39" s="29">
        <f>CSV!I7+count('SG&amp;A'!H20:H22)+count('SG&amp;A'!H28:H37)+count(CAC!H21:H38)+count(CAC!H44:H60)+count(CAC!H66:H71)+count(CAC!H77:H86)</f>
        <v>152</v>
      </c>
      <c r="I39" s="29">
        <f>CSV!J7+count('SG&amp;A'!I20:I22)+count('SG&amp;A'!I28:I37)+count(CAC!I21:I38)+count(CAC!I44:I60)+count(CAC!I66:I71)+count(CAC!I77:I86)</f>
        <v>159</v>
      </c>
      <c r="J39" s="29">
        <f>CSV!K7+count('SG&amp;A'!J20:J22)+count('SG&amp;A'!J28:J37)+count(CAC!J21:J38)+count(CAC!J44:J60)+count(CAC!J66:J71)+count(CAC!J77:J86)</f>
        <v>164</v>
      </c>
      <c r="K39" s="29">
        <f>CSV!L7+count('SG&amp;A'!K20:K22)+count('SG&amp;A'!K28:K37)+count(CAC!K21:K38)+count(CAC!K44:K60)+count(CAC!K66:K71)+count(CAC!K77:K86)</f>
        <v>168</v>
      </c>
      <c r="L39" s="29">
        <f>CSV!M7+count('SG&amp;A'!L20:L22)+count('SG&amp;A'!L28:L37)+count(CAC!L21:L38)+count(CAC!L44:L60)+count(CAC!L66:L71)+count(CAC!L77:L86)</f>
        <v>174</v>
      </c>
      <c r="M39" s="29">
        <f>CSV!N7+count('SG&amp;A'!M20:M22)+count('SG&amp;A'!M28:M37)+count(CAC!M21:M38)+count(CAC!M44:M60)+count(CAC!M66:M71)+count(CAC!M77:M86)</f>
        <v>177</v>
      </c>
      <c r="N39" s="29">
        <f>CSV!O7+count('SG&amp;A'!N20:N22)+count('SG&amp;A'!N28:N37)+count(CAC!N21:N38)+count(CAC!N44:N60)+count(CAC!N66:N71)+count(CAC!N77:N86)</f>
        <v>180</v>
      </c>
      <c r="O39" s="11"/>
      <c r="P39" s="12"/>
      <c r="Q39" s="12"/>
    </row>
    <row r="40">
      <c r="B40" s="17" t="s">
        <v>97</v>
      </c>
      <c r="C40" s="29">
        <f>CSV!D7</f>
        <v>87</v>
      </c>
      <c r="D40" s="29">
        <f>CSV!E7</f>
        <v>89</v>
      </c>
      <c r="E40" s="29">
        <f>CSV!F7</f>
        <v>96</v>
      </c>
      <c r="F40" s="29">
        <f>CSV!G7</f>
        <v>100</v>
      </c>
      <c r="G40" s="29">
        <f>CSV!H7</f>
        <v>104</v>
      </c>
      <c r="H40" s="29">
        <f>CSV!I7</f>
        <v>108</v>
      </c>
      <c r="I40" s="29">
        <f>CSV!J7</f>
        <v>115</v>
      </c>
      <c r="J40" s="29">
        <f>CSV!K7</f>
        <v>119</v>
      </c>
      <c r="K40" s="29">
        <f>CSV!L7</f>
        <v>122</v>
      </c>
      <c r="L40" s="29">
        <f>CSV!M7</f>
        <v>127</v>
      </c>
      <c r="M40" s="29">
        <f>CSV!N7</f>
        <v>130</v>
      </c>
      <c r="N40" s="29">
        <f>CSV!O7</f>
        <v>132</v>
      </c>
      <c r="O40" s="11"/>
      <c r="P40" s="12"/>
      <c r="Q40" s="12"/>
    </row>
    <row r="41">
      <c r="B41" s="17" t="s">
        <v>98</v>
      </c>
      <c r="C41" s="29">
        <f>CAC!C5</f>
        <v>27</v>
      </c>
      <c r="D41" s="29">
        <f>CAC!D5</f>
        <v>28</v>
      </c>
      <c r="E41" s="29">
        <f>CAC!E5</f>
        <v>30</v>
      </c>
      <c r="F41" s="29">
        <f>CAC!F5</f>
        <v>31</v>
      </c>
      <c r="G41" s="29">
        <f>CAC!G5</f>
        <v>31</v>
      </c>
      <c r="H41" s="29">
        <f>CAC!H5</f>
        <v>31</v>
      </c>
      <c r="I41" s="29">
        <f>CAC!I5</f>
        <v>31</v>
      </c>
      <c r="J41" s="29">
        <f>CAC!J5</f>
        <v>32</v>
      </c>
      <c r="K41" s="29">
        <f>CAC!K5</f>
        <v>33</v>
      </c>
      <c r="L41" s="29">
        <f>CAC!L5</f>
        <v>34</v>
      </c>
      <c r="M41" s="29">
        <f>CAC!M5</f>
        <v>34</v>
      </c>
      <c r="N41" s="29">
        <f>CAC!N5</f>
        <v>35</v>
      </c>
      <c r="O41" s="11"/>
      <c r="P41" s="12"/>
      <c r="Q41" s="12"/>
    </row>
    <row r="42">
      <c r="B42" s="17" t="s">
        <v>99</v>
      </c>
      <c r="C42" s="29">
        <f>'SG&amp;A'!C5</f>
        <v>12</v>
      </c>
      <c r="D42" s="29">
        <f>'SG&amp;A'!D5</f>
        <v>12</v>
      </c>
      <c r="E42" s="29">
        <f>'SG&amp;A'!E5</f>
        <v>12</v>
      </c>
      <c r="F42" s="29">
        <f>'SG&amp;A'!F5</f>
        <v>12</v>
      </c>
      <c r="G42" s="29">
        <f>'SG&amp;A'!G5</f>
        <v>12</v>
      </c>
      <c r="H42" s="29">
        <f>'SG&amp;A'!H5</f>
        <v>13</v>
      </c>
      <c r="I42" s="29">
        <f>'SG&amp;A'!I5</f>
        <v>13</v>
      </c>
      <c r="J42" s="29">
        <f>'SG&amp;A'!J5</f>
        <v>13</v>
      </c>
      <c r="K42" s="29">
        <f>'SG&amp;A'!K5</f>
        <v>13</v>
      </c>
      <c r="L42" s="29">
        <f>'SG&amp;A'!L5</f>
        <v>13</v>
      </c>
      <c r="M42" s="29">
        <f>'SG&amp;A'!M5</f>
        <v>13</v>
      </c>
      <c r="N42" s="29">
        <f>'SG&amp;A'!N5</f>
        <v>13</v>
      </c>
      <c r="O42" s="11"/>
      <c r="P42" s="12"/>
      <c r="Q42" s="12"/>
    </row>
    <row r="44">
      <c r="O44" s="11"/>
      <c r="P44" s="12"/>
      <c r="Q44" s="12"/>
    </row>
    <row r="45">
      <c r="O45" s="11"/>
      <c r="P45" s="12"/>
      <c r="Q45" s="12"/>
    </row>
    <row r="46">
      <c r="O46" s="11"/>
      <c r="P46" s="12"/>
      <c r="Q46" s="12"/>
    </row>
    <row r="47">
      <c r="O47" s="11"/>
      <c r="P47" s="12"/>
      <c r="Q47" s="12"/>
    </row>
    <row r="48">
      <c r="O48" s="11"/>
      <c r="P48" s="12"/>
      <c r="Q48" s="12"/>
    </row>
    <row r="49">
      <c r="O49" s="11"/>
      <c r="P49" s="12"/>
      <c r="Q49" s="12"/>
    </row>
    <row r="50">
      <c r="O50" s="11"/>
      <c r="P50" s="12"/>
      <c r="Q50" s="12"/>
    </row>
    <row r="51">
      <c r="O51" s="11"/>
      <c r="P51" s="12"/>
      <c r="Q51" s="12"/>
    </row>
    <row r="52">
      <c r="O52" s="11"/>
      <c r="P52" s="12"/>
      <c r="Q52" s="12"/>
    </row>
    <row r="53">
      <c r="O53" s="11"/>
      <c r="P53" s="12"/>
      <c r="Q53" s="12"/>
    </row>
    <row r="54">
      <c r="O54" s="11"/>
      <c r="P54" s="12"/>
      <c r="Q54" s="12"/>
    </row>
    <row r="55">
      <c r="O55" s="11"/>
      <c r="P55" s="12"/>
      <c r="Q55" s="12"/>
    </row>
    <row r="56">
      <c r="O56" s="11"/>
      <c r="P56" s="12"/>
      <c r="Q56" s="12"/>
    </row>
    <row r="57">
      <c r="O57" s="11"/>
      <c r="P57" s="12"/>
      <c r="Q57" s="12"/>
    </row>
    <row r="58">
      <c r="O58" s="11"/>
      <c r="P58" s="12"/>
      <c r="Q58" s="12"/>
    </row>
    <row r="59">
      <c r="O59" s="11"/>
      <c r="P59" s="12"/>
      <c r="Q59" s="12"/>
    </row>
    <row r="60">
      <c r="O60" s="11"/>
      <c r="P60" s="12"/>
      <c r="Q60" s="12"/>
    </row>
    <row r="61">
      <c r="O61" s="11"/>
      <c r="P61" s="12"/>
      <c r="Q61" s="12"/>
    </row>
    <row r="62">
      <c r="O62" s="11"/>
      <c r="P62" s="12"/>
      <c r="Q62" s="12"/>
    </row>
    <row r="63">
      <c r="O63" s="11"/>
      <c r="P63" s="12"/>
      <c r="Q63" s="12"/>
    </row>
    <row r="64">
      <c r="O64" s="11"/>
      <c r="P64" s="12"/>
      <c r="Q64" s="12"/>
    </row>
    <row r="65">
      <c r="O65" s="11"/>
      <c r="P65" s="12"/>
      <c r="Q65" s="12"/>
    </row>
    <row r="66">
      <c r="O66" s="11"/>
      <c r="P66" s="12"/>
      <c r="Q66" s="12"/>
    </row>
    <row r="67">
      <c r="O67" s="11"/>
      <c r="P67" s="12"/>
      <c r="Q67" s="12"/>
    </row>
    <row r="68">
      <c r="O68" s="11"/>
      <c r="P68" s="12"/>
      <c r="Q68" s="12"/>
    </row>
    <row r="69">
      <c r="O69" s="11"/>
      <c r="P69" s="12"/>
      <c r="Q69" s="12"/>
    </row>
    <row r="70">
      <c r="O70" s="11"/>
      <c r="P70" s="12"/>
      <c r="Q70" s="12"/>
    </row>
    <row r="71">
      <c r="O71" s="11"/>
      <c r="P71" s="12"/>
      <c r="Q71" s="12"/>
    </row>
    <row r="72">
      <c r="O72" s="11"/>
      <c r="P72" s="12"/>
      <c r="Q72" s="12"/>
    </row>
    <row r="73">
      <c r="O73" s="11"/>
      <c r="P73" s="12"/>
      <c r="Q73" s="12"/>
    </row>
    <row r="74">
      <c r="O74" s="11"/>
      <c r="P74" s="12"/>
      <c r="Q74" s="12"/>
    </row>
    <row r="75">
      <c r="O75" s="11"/>
      <c r="P75" s="12"/>
      <c r="Q75" s="12"/>
    </row>
    <row r="76">
      <c r="O76" s="11"/>
      <c r="P76" s="12"/>
      <c r="Q76" s="12"/>
    </row>
    <row r="77">
      <c r="O77" s="11"/>
      <c r="P77" s="12"/>
      <c r="Q77" s="12"/>
    </row>
    <row r="78">
      <c r="O78" s="11"/>
      <c r="P78" s="12"/>
      <c r="Q78" s="12"/>
    </row>
    <row r="79">
      <c r="O79" s="11"/>
      <c r="P79" s="12"/>
      <c r="Q79" s="12"/>
    </row>
    <row r="80">
      <c r="O80" s="11"/>
      <c r="P80" s="12"/>
      <c r="Q80" s="12"/>
    </row>
    <row r="81">
      <c r="O81" s="11"/>
      <c r="P81" s="12"/>
      <c r="Q81" s="12"/>
    </row>
    <row r="82">
      <c r="O82" s="11"/>
      <c r="P82" s="12"/>
      <c r="Q82" s="12"/>
    </row>
    <row r="83">
      <c r="O83" s="11"/>
      <c r="P83" s="12"/>
      <c r="Q83" s="12"/>
    </row>
    <row r="84">
      <c r="O84" s="11"/>
      <c r="P84" s="12"/>
      <c r="Q84" s="12"/>
    </row>
    <row r="85">
      <c r="O85" s="11"/>
      <c r="P85" s="12"/>
      <c r="Q85" s="12"/>
    </row>
    <row r="86">
      <c r="O86" s="11"/>
      <c r="P86" s="12"/>
      <c r="Q86" s="12"/>
    </row>
    <row r="87">
      <c r="O87" s="11"/>
      <c r="P87" s="12"/>
      <c r="Q87" s="12"/>
    </row>
    <row r="88">
      <c r="O88" s="11"/>
      <c r="P88" s="12"/>
      <c r="Q88" s="12"/>
    </row>
    <row r="89">
      <c r="O89" s="11"/>
      <c r="P89" s="12"/>
      <c r="Q89" s="12"/>
    </row>
    <row r="90">
      <c r="O90" s="11"/>
      <c r="P90" s="12"/>
      <c r="Q90" s="12"/>
    </row>
    <row r="91">
      <c r="O91" s="11"/>
      <c r="P91" s="12"/>
      <c r="Q91" s="12"/>
    </row>
    <row r="92">
      <c r="O92" s="11"/>
      <c r="P92" s="12"/>
      <c r="Q92" s="12"/>
    </row>
    <row r="93">
      <c r="O93" s="11"/>
      <c r="P93" s="12"/>
      <c r="Q93" s="12"/>
    </row>
    <row r="94">
      <c r="O94" s="11"/>
      <c r="P94" s="12"/>
      <c r="Q94" s="12"/>
    </row>
    <row r="95">
      <c r="O95" s="11"/>
      <c r="P95" s="12"/>
      <c r="Q95" s="12"/>
    </row>
    <row r="96">
      <c r="O96" s="11"/>
      <c r="P96" s="12"/>
      <c r="Q96" s="12"/>
    </row>
    <row r="97">
      <c r="O97" s="11"/>
      <c r="P97" s="12"/>
      <c r="Q97" s="12"/>
    </row>
    <row r="98">
      <c r="O98" s="11"/>
      <c r="P98" s="12"/>
      <c r="Q98" s="12"/>
    </row>
    <row r="99">
      <c r="O99" s="11"/>
      <c r="P99" s="12"/>
      <c r="Q99" s="12"/>
    </row>
    <row r="100">
      <c r="O100" s="11"/>
      <c r="P100" s="12"/>
      <c r="Q100" s="12"/>
    </row>
    <row r="101">
      <c r="O101" s="11"/>
      <c r="P101" s="12"/>
      <c r="Q101" s="12"/>
    </row>
    <row r="102">
      <c r="O102" s="11"/>
      <c r="P102" s="12"/>
      <c r="Q102" s="12"/>
    </row>
    <row r="103">
      <c r="O103" s="11"/>
      <c r="P103" s="12"/>
      <c r="Q103" s="12"/>
    </row>
    <row r="104">
      <c r="O104" s="11"/>
      <c r="P104" s="12"/>
      <c r="Q104" s="12"/>
    </row>
    <row r="105">
      <c r="O105" s="11"/>
      <c r="P105" s="12"/>
      <c r="Q105" s="12"/>
    </row>
    <row r="106">
      <c r="O106" s="11"/>
      <c r="P106" s="12"/>
      <c r="Q106" s="12"/>
    </row>
    <row r="107">
      <c r="O107" s="11"/>
      <c r="P107" s="12"/>
      <c r="Q107" s="12"/>
    </row>
    <row r="108">
      <c r="O108" s="11"/>
      <c r="P108" s="12"/>
      <c r="Q108" s="12"/>
    </row>
    <row r="109">
      <c r="O109" s="11"/>
      <c r="P109" s="12"/>
      <c r="Q109" s="12"/>
    </row>
    <row r="110">
      <c r="O110" s="11"/>
      <c r="P110" s="12"/>
      <c r="Q110" s="12"/>
    </row>
    <row r="111">
      <c r="O111" s="11"/>
      <c r="P111" s="12"/>
      <c r="Q111" s="12"/>
    </row>
    <row r="112">
      <c r="O112" s="11"/>
      <c r="P112" s="12"/>
      <c r="Q112" s="12"/>
    </row>
    <row r="113">
      <c r="O113" s="11"/>
      <c r="P113" s="12"/>
      <c r="Q113" s="12"/>
    </row>
    <row r="114">
      <c r="O114" s="11"/>
      <c r="P114" s="12"/>
      <c r="Q114" s="12"/>
    </row>
    <row r="115">
      <c r="O115" s="11"/>
      <c r="P115" s="12"/>
      <c r="Q115" s="12"/>
    </row>
    <row r="116">
      <c r="O116" s="11"/>
      <c r="P116" s="12"/>
      <c r="Q116" s="12"/>
    </row>
    <row r="117">
      <c r="O117" s="11"/>
      <c r="P117" s="12"/>
      <c r="Q117" s="12"/>
    </row>
    <row r="118">
      <c r="O118" s="11"/>
      <c r="P118" s="12"/>
      <c r="Q118" s="12"/>
    </row>
    <row r="119">
      <c r="O119" s="11"/>
      <c r="P119" s="12"/>
      <c r="Q119" s="12"/>
    </row>
    <row r="120">
      <c r="O120" s="11"/>
      <c r="P120" s="12"/>
      <c r="Q120" s="12"/>
    </row>
    <row r="121">
      <c r="O121" s="11"/>
      <c r="P121" s="12"/>
      <c r="Q121" s="12"/>
    </row>
    <row r="122">
      <c r="O122" s="11"/>
      <c r="P122" s="12"/>
      <c r="Q122" s="12"/>
    </row>
    <row r="123">
      <c r="O123" s="11"/>
      <c r="P123" s="12"/>
      <c r="Q123" s="12"/>
    </row>
    <row r="124">
      <c r="O124" s="11"/>
      <c r="P124" s="12"/>
      <c r="Q124" s="12"/>
    </row>
    <row r="125">
      <c r="O125" s="11"/>
      <c r="P125" s="12"/>
      <c r="Q125" s="12"/>
    </row>
    <row r="126">
      <c r="O126" s="11"/>
      <c r="P126" s="12"/>
      <c r="Q126" s="12"/>
    </row>
    <row r="127">
      <c r="O127" s="11"/>
      <c r="P127" s="12"/>
      <c r="Q127" s="12"/>
    </row>
    <row r="128">
      <c r="O128" s="11"/>
      <c r="P128" s="12"/>
      <c r="Q128" s="12"/>
    </row>
    <row r="129">
      <c r="O129" s="11"/>
      <c r="P129" s="12"/>
      <c r="Q129" s="12"/>
    </row>
    <row r="130">
      <c r="O130" s="11"/>
      <c r="P130" s="12"/>
      <c r="Q130" s="12"/>
    </row>
    <row r="131">
      <c r="O131" s="11"/>
      <c r="P131" s="12"/>
      <c r="Q131" s="12"/>
    </row>
    <row r="132">
      <c r="O132" s="11"/>
      <c r="P132" s="12"/>
      <c r="Q132" s="12"/>
    </row>
    <row r="133">
      <c r="O133" s="11"/>
      <c r="P133" s="12"/>
      <c r="Q133" s="12"/>
    </row>
    <row r="134">
      <c r="O134" s="11"/>
      <c r="P134" s="12"/>
      <c r="Q134" s="12"/>
    </row>
    <row r="135">
      <c r="O135" s="11"/>
      <c r="P135" s="12"/>
      <c r="Q135" s="12"/>
    </row>
    <row r="136">
      <c r="O136" s="11"/>
      <c r="P136" s="12"/>
      <c r="Q136" s="12"/>
    </row>
    <row r="137">
      <c r="O137" s="11"/>
      <c r="P137" s="12"/>
      <c r="Q137" s="12"/>
    </row>
    <row r="138">
      <c r="O138" s="11"/>
      <c r="P138" s="12"/>
      <c r="Q138" s="12"/>
    </row>
    <row r="139">
      <c r="O139" s="11"/>
      <c r="P139" s="12"/>
      <c r="Q139" s="12"/>
    </row>
    <row r="140">
      <c r="O140" s="11"/>
      <c r="P140" s="12"/>
      <c r="Q140" s="12"/>
    </row>
    <row r="141">
      <c r="O141" s="11"/>
      <c r="P141" s="12"/>
      <c r="Q141" s="12"/>
    </row>
    <row r="142">
      <c r="O142" s="11"/>
      <c r="P142" s="12"/>
      <c r="Q142" s="12"/>
    </row>
    <row r="143">
      <c r="O143" s="11"/>
      <c r="P143" s="12"/>
      <c r="Q143" s="12"/>
    </row>
    <row r="144">
      <c r="O144" s="11"/>
      <c r="P144" s="12"/>
      <c r="Q144" s="12"/>
    </row>
    <row r="145">
      <c r="O145" s="11"/>
      <c r="P145" s="12"/>
      <c r="Q145" s="12"/>
    </row>
    <row r="146">
      <c r="O146" s="11"/>
      <c r="P146" s="12"/>
      <c r="Q146" s="12"/>
    </row>
    <row r="147">
      <c r="O147" s="11"/>
      <c r="P147" s="12"/>
      <c r="Q147" s="12"/>
    </row>
    <row r="148">
      <c r="O148" s="11"/>
      <c r="P148" s="12"/>
      <c r="Q148" s="12"/>
    </row>
    <row r="149">
      <c r="O149" s="11"/>
      <c r="P149" s="12"/>
      <c r="Q149" s="12"/>
    </row>
    <row r="150">
      <c r="O150" s="11"/>
      <c r="P150" s="12"/>
      <c r="Q150" s="12"/>
    </row>
    <row r="151">
      <c r="O151" s="11"/>
      <c r="P151" s="12"/>
      <c r="Q151" s="12"/>
    </row>
    <row r="152">
      <c r="O152" s="11"/>
      <c r="P152" s="12"/>
      <c r="Q152" s="12"/>
    </row>
    <row r="153">
      <c r="O153" s="11"/>
      <c r="P153" s="12"/>
      <c r="Q153" s="12"/>
    </row>
    <row r="154">
      <c r="O154" s="11"/>
      <c r="P154" s="12"/>
      <c r="Q154" s="12"/>
    </row>
    <row r="155">
      <c r="O155" s="11"/>
      <c r="P155" s="12"/>
      <c r="Q155" s="12"/>
    </row>
    <row r="156">
      <c r="O156" s="11"/>
      <c r="P156" s="12"/>
      <c r="Q156" s="12"/>
    </row>
    <row r="157">
      <c r="O157" s="11"/>
      <c r="P157" s="12"/>
      <c r="Q157" s="12"/>
    </row>
    <row r="158">
      <c r="O158" s="11"/>
      <c r="P158" s="12"/>
      <c r="Q158" s="12"/>
    </row>
    <row r="159">
      <c r="O159" s="11"/>
      <c r="P159" s="12"/>
      <c r="Q159" s="12"/>
    </row>
    <row r="160">
      <c r="O160" s="11"/>
      <c r="P160" s="12"/>
      <c r="Q160" s="12"/>
    </row>
    <row r="161">
      <c r="O161" s="11"/>
      <c r="P161" s="12"/>
      <c r="Q161" s="12"/>
    </row>
    <row r="162">
      <c r="O162" s="11"/>
      <c r="P162" s="12"/>
      <c r="Q162" s="12"/>
    </row>
    <row r="163">
      <c r="O163" s="11"/>
      <c r="P163" s="12"/>
      <c r="Q163" s="12"/>
    </row>
    <row r="164">
      <c r="O164" s="11"/>
      <c r="P164" s="12"/>
      <c r="Q164" s="12"/>
    </row>
    <row r="165">
      <c r="O165" s="11"/>
      <c r="P165" s="12"/>
      <c r="Q165" s="12"/>
    </row>
    <row r="166">
      <c r="O166" s="11"/>
      <c r="P166" s="12"/>
      <c r="Q166" s="12"/>
    </row>
    <row r="167">
      <c r="O167" s="11"/>
      <c r="P167" s="12"/>
      <c r="Q167" s="12"/>
    </row>
    <row r="168">
      <c r="O168" s="11"/>
      <c r="P168" s="12"/>
      <c r="Q168" s="12"/>
    </row>
    <row r="169">
      <c r="O169" s="11"/>
      <c r="P169" s="12"/>
      <c r="Q169" s="12"/>
    </row>
    <row r="170">
      <c r="O170" s="11"/>
      <c r="P170" s="12"/>
      <c r="Q170" s="12"/>
    </row>
    <row r="171">
      <c r="O171" s="11"/>
      <c r="P171" s="12"/>
      <c r="Q171" s="12"/>
    </row>
    <row r="172">
      <c r="O172" s="11"/>
      <c r="P172" s="12"/>
      <c r="Q172" s="12"/>
    </row>
    <row r="173">
      <c r="O173" s="11"/>
      <c r="P173" s="12"/>
      <c r="Q173" s="12"/>
    </row>
    <row r="174">
      <c r="O174" s="11"/>
      <c r="P174" s="12"/>
      <c r="Q174" s="12"/>
    </row>
    <row r="175">
      <c r="O175" s="11"/>
      <c r="P175" s="12"/>
      <c r="Q175" s="12"/>
    </row>
    <row r="176">
      <c r="O176" s="11"/>
      <c r="P176" s="12"/>
      <c r="Q176" s="12"/>
    </row>
    <row r="177">
      <c r="O177" s="11"/>
      <c r="P177" s="12"/>
      <c r="Q177" s="12"/>
    </row>
    <row r="178">
      <c r="O178" s="11"/>
      <c r="P178" s="12"/>
      <c r="Q178" s="12"/>
    </row>
    <row r="179">
      <c r="O179" s="11"/>
      <c r="P179" s="12"/>
      <c r="Q179" s="12"/>
    </row>
    <row r="180">
      <c r="O180" s="11"/>
      <c r="P180" s="12"/>
      <c r="Q180" s="12"/>
    </row>
    <row r="181">
      <c r="O181" s="11"/>
      <c r="P181" s="12"/>
      <c r="Q181" s="12"/>
    </row>
    <row r="182">
      <c r="O182" s="11"/>
      <c r="P182" s="12"/>
      <c r="Q182" s="12"/>
    </row>
    <row r="183">
      <c r="O183" s="11"/>
      <c r="P183" s="12"/>
      <c r="Q183" s="12"/>
    </row>
    <row r="184">
      <c r="O184" s="11"/>
      <c r="P184" s="12"/>
      <c r="Q184" s="12"/>
    </row>
    <row r="185">
      <c r="O185" s="11"/>
      <c r="P185" s="12"/>
      <c r="Q185" s="12"/>
    </row>
    <row r="186">
      <c r="O186" s="11"/>
      <c r="P186" s="12"/>
      <c r="Q186" s="12"/>
    </row>
    <row r="187">
      <c r="O187" s="11"/>
      <c r="P187" s="12"/>
      <c r="Q187" s="12"/>
    </row>
    <row r="188">
      <c r="O188" s="11"/>
      <c r="P188" s="12"/>
      <c r="Q188" s="12"/>
    </row>
    <row r="189">
      <c r="O189" s="11"/>
      <c r="P189" s="12"/>
      <c r="Q189" s="12"/>
    </row>
    <row r="190">
      <c r="O190" s="11"/>
      <c r="P190" s="12"/>
      <c r="Q190" s="12"/>
    </row>
    <row r="191">
      <c r="O191" s="11"/>
      <c r="P191" s="12"/>
      <c r="Q191" s="12"/>
    </row>
    <row r="192">
      <c r="O192" s="11"/>
      <c r="P192" s="12"/>
      <c r="Q192" s="12"/>
    </row>
    <row r="193">
      <c r="O193" s="11"/>
      <c r="P193" s="12"/>
      <c r="Q193" s="12"/>
    </row>
    <row r="194">
      <c r="O194" s="11"/>
      <c r="P194" s="12"/>
      <c r="Q194" s="12"/>
    </row>
    <row r="195">
      <c r="O195" s="11"/>
      <c r="P195" s="12"/>
      <c r="Q195" s="12"/>
    </row>
    <row r="196">
      <c r="O196" s="11"/>
      <c r="P196" s="12"/>
      <c r="Q196" s="12"/>
    </row>
    <row r="197">
      <c r="O197" s="11"/>
      <c r="P197" s="12"/>
      <c r="Q197" s="12"/>
    </row>
    <row r="198">
      <c r="O198" s="11"/>
      <c r="P198" s="12"/>
      <c r="Q198" s="12"/>
    </row>
    <row r="199">
      <c r="O199" s="11"/>
      <c r="P199" s="12"/>
      <c r="Q199" s="12"/>
    </row>
    <row r="200">
      <c r="O200" s="11"/>
      <c r="P200" s="12"/>
      <c r="Q200" s="12"/>
    </row>
    <row r="201">
      <c r="O201" s="11"/>
      <c r="P201" s="12"/>
      <c r="Q201" s="12"/>
    </row>
    <row r="202">
      <c r="O202" s="11"/>
      <c r="P202" s="12"/>
      <c r="Q202" s="12"/>
    </row>
    <row r="203">
      <c r="O203" s="11"/>
      <c r="P203" s="12"/>
      <c r="Q203" s="12"/>
    </row>
    <row r="204">
      <c r="O204" s="11"/>
      <c r="P204" s="12"/>
      <c r="Q204" s="12"/>
    </row>
    <row r="205">
      <c r="O205" s="11"/>
      <c r="P205" s="12"/>
      <c r="Q205" s="12"/>
    </row>
    <row r="206">
      <c r="O206" s="11"/>
      <c r="P206" s="12"/>
      <c r="Q206" s="12"/>
    </row>
    <row r="207">
      <c r="O207" s="11"/>
      <c r="P207" s="12"/>
      <c r="Q207" s="12"/>
    </row>
    <row r="208">
      <c r="O208" s="11"/>
      <c r="P208" s="12"/>
      <c r="Q208" s="12"/>
    </row>
    <row r="209">
      <c r="O209" s="11"/>
      <c r="P209" s="12"/>
      <c r="Q209" s="12"/>
    </row>
    <row r="210">
      <c r="O210" s="11"/>
      <c r="P210" s="12"/>
      <c r="Q210" s="12"/>
    </row>
    <row r="211">
      <c r="O211" s="11"/>
      <c r="P211" s="12"/>
      <c r="Q211" s="12"/>
    </row>
    <row r="212">
      <c r="O212" s="11"/>
      <c r="P212" s="12"/>
      <c r="Q212" s="12"/>
    </row>
    <row r="213">
      <c r="O213" s="11"/>
      <c r="P213" s="12"/>
      <c r="Q213" s="12"/>
    </row>
    <row r="214">
      <c r="O214" s="11"/>
      <c r="P214" s="12"/>
      <c r="Q214" s="12"/>
    </row>
    <row r="215">
      <c r="O215" s="11"/>
      <c r="P215" s="12"/>
      <c r="Q215" s="12"/>
    </row>
    <row r="216">
      <c r="O216" s="11"/>
      <c r="P216" s="12"/>
      <c r="Q216" s="12"/>
    </row>
    <row r="217">
      <c r="O217" s="11"/>
      <c r="P217" s="12"/>
      <c r="Q217" s="12"/>
    </row>
    <row r="218">
      <c r="O218" s="11"/>
      <c r="P218" s="12"/>
      <c r="Q218" s="12"/>
    </row>
    <row r="219">
      <c r="O219" s="11"/>
      <c r="P219" s="12"/>
      <c r="Q219" s="12"/>
    </row>
    <row r="220">
      <c r="O220" s="11"/>
      <c r="P220" s="12"/>
      <c r="Q220" s="12"/>
    </row>
    <row r="221">
      <c r="O221" s="11"/>
      <c r="P221" s="12"/>
      <c r="Q221" s="12"/>
    </row>
    <row r="222">
      <c r="O222" s="11"/>
      <c r="P222" s="12"/>
      <c r="Q222" s="12"/>
    </row>
    <row r="223">
      <c r="O223" s="11"/>
      <c r="P223" s="12"/>
      <c r="Q223" s="12"/>
    </row>
    <row r="224">
      <c r="O224" s="11"/>
      <c r="P224" s="12"/>
      <c r="Q224" s="12"/>
    </row>
    <row r="225">
      <c r="O225" s="11"/>
      <c r="P225" s="12"/>
      <c r="Q225" s="12"/>
    </row>
    <row r="226">
      <c r="O226" s="11"/>
      <c r="P226" s="12"/>
      <c r="Q226" s="12"/>
    </row>
    <row r="227">
      <c r="O227" s="11"/>
      <c r="P227" s="12"/>
      <c r="Q227" s="12"/>
    </row>
    <row r="228">
      <c r="O228" s="11"/>
      <c r="P228" s="12"/>
      <c r="Q228" s="12"/>
    </row>
    <row r="229">
      <c r="O229" s="11"/>
      <c r="P229" s="12"/>
      <c r="Q229" s="12"/>
    </row>
    <row r="230">
      <c r="O230" s="11"/>
      <c r="P230" s="12"/>
      <c r="Q230" s="12"/>
    </row>
    <row r="231">
      <c r="O231" s="11"/>
      <c r="P231" s="12"/>
      <c r="Q231" s="12"/>
    </row>
    <row r="232">
      <c r="O232" s="11"/>
      <c r="P232" s="12"/>
      <c r="Q232" s="12"/>
    </row>
    <row r="233">
      <c r="O233" s="11"/>
      <c r="P233" s="12"/>
      <c r="Q233" s="12"/>
    </row>
    <row r="234">
      <c r="O234" s="11"/>
      <c r="P234" s="12"/>
      <c r="Q234" s="12"/>
    </row>
    <row r="235">
      <c r="O235" s="11"/>
      <c r="P235" s="12"/>
      <c r="Q235" s="12"/>
    </row>
    <row r="236">
      <c r="O236" s="11"/>
      <c r="P236" s="12"/>
      <c r="Q236" s="12"/>
    </row>
    <row r="237">
      <c r="O237" s="11"/>
      <c r="P237" s="12"/>
      <c r="Q237" s="12"/>
    </row>
    <row r="238">
      <c r="O238" s="11"/>
      <c r="P238" s="12"/>
      <c r="Q238" s="12"/>
    </row>
    <row r="239">
      <c r="O239" s="11"/>
      <c r="P239" s="12"/>
      <c r="Q239" s="12"/>
    </row>
    <row r="240">
      <c r="O240" s="11"/>
      <c r="P240" s="12"/>
      <c r="Q240" s="12"/>
    </row>
    <row r="241">
      <c r="O241" s="11"/>
      <c r="P241" s="12"/>
      <c r="Q241" s="12"/>
    </row>
    <row r="242">
      <c r="O242" s="11"/>
      <c r="P242" s="12"/>
      <c r="Q242" s="12"/>
    </row>
    <row r="243">
      <c r="O243" s="11"/>
      <c r="P243" s="12"/>
      <c r="Q243" s="12"/>
    </row>
    <row r="244">
      <c r="O244" s="11"/>
      <c r="P244" s="12"/>
      <c r="Q244" s="12"/>
    </row>
    <row r="245">
      <c r="O245" s="11"/>
      <c r="P245" s="12"/>
      <c r="Q245" s="12"/>
    </row>
    <row r="246">
      <c r="O246" s="11"/>
      <c r="P246" s="12"/>
      <c r="Q246" s="12"/>
    </row>
    <row r="247">
      <c r="O247" s="11"/>
      <c r="P247" s="12"/>
      <c r="Q247" s="12"/>
    </row>
    <row r="248">
      <c r="O248" s="11"/>
      <c r="P248" s="12"/>
      <c r="Q248" s="12"/>
    </row>
    <row r="249">
      <c r="O249" s="11"/>
      <c r="P249" s="12"/>
      <c r="Q249" s="12"/>
    </row>
    <row r="250">
      <c r="O250" s="11"/>
      <c r="P250" s="12"/>
      <c r="Q250" s="12"/>
    </row>
    <row r="251">
      <c r="O251" s="11"/>
      <c r="P251" s="12"/>
      <c r="Q251" s="12"/>
    </row>
    <row r="252">
      <c r="O252" s="11"/>
      <c r="P252" s="12"/>
      <c r="Q252" s="12"/>
    </row>
    <row r="253">
      <c r="O253" s="11"/>
      <c r="P253" s="12"/>
      <c r="Q253" s="12"/>
    </row>
    <row r="254">
      <c r="O254" s="11"/>
      <c r="P254" s="12"/>
      <c r="Q254" s="12"/>
    </row>
    <row r="255">
      <c r="O255" s="11"/>
      <c r="P255" s="12"/>
      <c r="Q255" s="12"/>
    </row>
    <row r="256">
      <c r="O256" s="11"/>
      <c r="P256" s="12"/>
      <c r="Q256" s="12"/>
    </row>
    <row r="257">
      <c r="O257" s="11"/>
      <c r="P257" s="12"/>
      <c r="Q257" s="12"/>
    </row>
    <row r="258">
      <c r="O258" s="11"/>
      <c r="P258" s="12"/>
      <c r="Q258" s="12"/>
    </row>
    <row r="259">
      <c r="O259" s="11"/>
      <c r="P259" s="12"/>
      <c r="Q259" s="12"/>
    </row>
    <row r="260">
      <c r="O260" s="11"/>
      <c r="P260" s="12"/>
      <c r="Q260" s="12"/>
    </row>
    <row r="261">
      <c r="O261" s="11"/>
      <c r="P261" s="12"/>
      <c r="Q261" s="12"/>
    </row>
    <row r="262">
      <c r="O262" s="11"/>
      <c r="P262" s="12"/>
      <c r="Q262" s="12"/>
    </row>
    <row r="263">
      <c r="O263" s="11"/>
      <c r="P263" s="12"/>
      <c r="Q263" s="12"/>
    </row>
    <row r="264">
      <c r="O264" s="11"/>
      <c r="P264" s="12"/>
      <c r="Q264" s="12"/>
    </row>
    <row r="265">
      <c r="O265" s="11"/>
      <c r="P265" s="12"/>
      <c r="Q265" s="12"/>
    </row>
    <row r="266">
      <c r="O266" s="11"/>
      <c r="P266" s="12"/>
      <c r="Q266" s="12"/>
    </row>
    <row r="267">
      <c r="O267" s="11"/>
      <c r="P267" s="12"/>
      <c r="Q267" s="12"/>
    </row>
    <row r="268">
      <c r="O268" s="11"/>
      <c r="P268" s="12"/>
      <c r="Q268" s="12"/>
    </row>
    <row r="269">
      <c r="O269" s="11"/>
      <c r="P269" s="12"/>
      <c r="Q269" s="12"/>
    </row>
    <row r="270">
      <c r="O270" s="11"/>
      <c r="P270" s="12"/>
      <c r="Q270" s="12"/>
    </row>
    <row r="271">
      <c r="O271" s="11"/>
      <c r="P271" s="12"/>
      <c r="Q271" s="12"/>
    </row>
    <row r="272">
      <c r="O272" s="11"/>
      <c r="P272" s="12"/>
      <c r="Q272" s="12"/>
    </row>
    <row r="273">
      <c r="O273" s="11"/>
      <c r="P273" s="12"/>
      <c r="Q273" s="12"/>
    </row>
    <row r="274">
      <c r="O274" s="11"/>
      <c r="P274" s="12"/>
      <c r="Q274" s="12"/>
    </row>
    <row r="275">
      <c r="O275" s="11"/>
      <c r="P275" s="12"/>
      <c r="Q275" s="12"/>
    </row>
    <row r="276">
      <c r="O276" s="11"/>
      <c r="P276" s="12"/>
      <c r="Q276" s="12"/>
    </row>
    <row r="277">
      <c r="O277" s="11"/>
      <c r="P277" s="12"/>
      <c r="Q277" s="12"/>
    </row>
    <row r="278">
      <c r="O278" s="11"/>
      <c r="P278" s="12"/>
      <c r="Q278" s="12"/>
    </row>
    <row r="279">
      <c r="O279" s="11"/>
      <c r="P279" s="12"/>
      <c r="Q279" s="12"/>
    </row>
    <row r="280">
      <c r="O280" s="11"/>
      <c r="P280" s="12"/>
      <c r="Q280" s="12"/>
    </row>
    <row r="281">
      <c r="O281" s="11"/>
      <c r="P281" s="12"/>
      <c r="Q281" s="12"/>
    </row>
    <row r="282">
      <c r="O282" s="11"/>
      <c r="P282" s="12"/>
      <c r="Q282" s="12"/>
    </row>
    <row r="283">
      <c r="O283" s="11"/>
      <c r="P283" s="12"/>
      <c r="Q283" s="12"/>
    </row>
    <row r="284">
      <c r="O284" s="11"/>
      <c r="P284" s="12"/>
      <c r="Q284" s="12"/>
    </row>
    <row r="285">
      <c r="O285" s="11"/>
      <c r="P285" s="12"/>
      <c r="Q285" s="12"/>
    </row>
    <row r="286">
      <c r="O286" s="11"/>
      <c r="P286" s="12"/>
      <c r="Q286" s="12"/>
    </row>
    <row r="287">
      <c r="O287" s="11"/>
      <c r="P287" s="12"/>
      <c r="Q287" s="12"/>
    </row>
    <row r="288">
      <c r="O288" s="11"/>
      <c r="P288" s="12"/>
      <c r="Q288" s="12"/>
    </row>
    <row r="289">
      <c r="O289" s="11"/>
      <c r="P289" s="12"/>
      <c r="Q289" s="12"/>
    </row>
    <row r="290">
      <c r="O290" s="11"/>
      <c r="P290" s="12"/>
      <c r="Q290" s="12"/>
    </row>
    <row r="291">
      <c r="O291" s="11"/>
      <c r="P291" s="12"/>
      <c r="Q291" s="12"/>
    </row>
    <row r="292">
      <c r="O292" s="11"/>
      <c r="P292" s="12"/>
      <c r="Q292" s="12"/>
    </row>
    <row r="293">
      <c r="O293" s="11"/>
      <c r="P293" s="12"/>
      <c r="Q293" s="12"/>
    </row>
    <row r="294">
      <c r="O294" s="11"/>
      <c r="P294" s="12"/>
      <c r="Q294" s="12"/>
    </row>
    <row r="295">
      <c r="O295" s="11"/>
      <c r="P295" s="12"/>
      <c r="Q295" s="12"/>
    </row>
    <row r="296">
      <c r="O296" s="11"/>
      <c r="P296" s="12"/>
      <c r="Q296" s="12"/>
    </row>
    <row r="297">
      <c r="O297" s="11"/>
      <c r="P297" s="12"/>
      <c r="Q297" s="12"/>
    </row>
    <row r="298">
      <c r="O298" s="11"/>
      <c r="P298" s="12"/>
      <c r="Q298" s="12"/>
    </row>
    <row r="299">
      <c r="O299" s="11"/>
      <c r="P299" s="12"/>
      <c r="Q299" s="12"/>
    </row>
    <row r="300">
      <c r="O300" s="11"/>
      <c r="P300" s="12"/>
      <c r="Q300" s="12"/>
    </row>
    <row r="301">
      <c r="O301" s="11"/>
      <c r="P301" s="12"/>
      <c r="Q301" s="12"/>
    </row>
    <row r="302">
      <c r="O302" s="11"/>
      <c r="P302" s="12"/>
      <c r="Q302" s="12"/>
    </row>
    <row r="303">
      <c r="O303" s="11"/>
      <c r="P303" s="12"/>
      <c r="Q303" s="12"/>
    </row>
    <row r="304">
      <c r="O304" s="11"/>
      <c r="P304" s="12"/>
      <c r="Q304" s="12"/>
    </row>
    <row r="305">
      <c r="O305" s="11"/>
      <c r="P305" s="12"/>
      <c r="Q305" s="12"/>
    </row>
    <row r="306">
      <c r="O306" s="11"/>
      <c r="P306" s="12"/>
      <c r="Q306" s="12"/>
    </row>
    <row r="307">
      <c r="O307" s="11"/>
      <c r="P307" s="12"/>
      <c r="Q307" s="12"/>
    </row>
    <row r="308">
      <c r="O308" s="11"/>
      <c r="P308" s="12"/>
      <c r="Q308" s="12"/>
    </row>
    <row r="309">
      <c r="O309" s="11"/>
      <c r="P309" s="12"/>
      <c r="Q309" s="12"/>
    </row>
    <row r="310">
      <c r="O310" s="11"/>
      <c r="P310" s="12"/>
      <c r="Q310" s="12"/>
    </row>
    <row r="311">
      <c r="O311" s="11"/>
      <c r="P311" s="12"/>
      <c r="Q311" s="12"/>
    </row>
    <row r="312">
      <c r="O312" s="11"/>
      <c r="P312" s="12"/>
      <c r="Q312" s="12"/>
    </row>
    <row r="313">
      <c r="O313" s="11"/>
      <c r="P313" s="12"/>
      <c r="Q313" s="12"/>
    </row>
    <row r="314">
      <c r="O314" s="11"/>
      <c r="P314" s="12"/>
      <c r="Q314" s="12"/>
    </row>
    <row r="315">
      <c r="O315" s="11"/>
      <c r="P315" s="12"/>
      <c r="Q315" s="12"/>
    </row>
    <row r="316">
      <c r="O316" s="11"/>
      <c r="P316" s="12"/>
      <c r="Q316" s="12"/>
    </row>
    <row r="317">
      <c r="O317" s="11"/>
      <c r="P317" s="12"/>
      <c r="Q317" s="12"/>
    </row>
    <row r="318">
      <c r="O318" s="11"/>
      <c r="P318" s="12"/>
      <c r="Q318" s="12"/>
    </row>
    <row r="319">
      <c r="O319" s="11"/>
      <c r="P319" s="12"/>
      <c r="Q319" s="12"/>
    </row>
    <row r="320">
      <c r="O320" s="11"/>
      <c r="P320" s="12"/>
      <c r="Q320" s="12"/>
    </row>
    <row r="321">
      <c r="O321" s="11"/>
      <c r="P321" s="12"/>
      <c r="Q321" s="12"/>
    </row>
    <row r="322">
      <c r="O322" s="11"/>
      <c r="P322" s="12"/>
      <c r="Q322" s="12"/>
    </row>
    <row r="323">
      <c r="O323" s="11"/>
      <c r="P323" s="12"/>
      <c r="Q323" s="12"/>
    </row>
    <row r="324">
      <c r="O324" s="11"/>
      <c r="P324" s="12"/>
      <c r="Q324" s="12"/>
    </row>
    <row r="325">
      <c r="O325" s="11"/>
      <c r="P325" s="12"/>
      <c r="Q325" s="12"/>
    </row>
    <row r="326">
      <c r="O326" s="11"/>
      <c r="P326" s="12"/>
      <c r="Q326" s="12"/>
    </row>
    <row r="327">
      <c r="O327" s="11"/>
      <c r="P327" s="12"/>
      <c r="Q327" s="12"/>
    </row>
    <row r="328">
      <c r="O328" s="11"/>
      <c r="P328" s="12"/>
      <c r="Q328" s="12"/>
    </row>
    <row r="329">
      <c r="O329" s="11"/>
      <c r="P329" s="12"/>
      <c r="Q329" s="12"/>
    </row>
    <row r="330">
      <c r="O330" s="11"/>
      <c r="P330" s="12"/>
      <c r="Q330" s="12"/>
    </row>
    <row r="331">
      <c r="O331" s="11"/>
      <c r="P331" s="12"/>
      <c r="Q331" s="12"/>
    </row>
    <row r="332">
      <c r="O332" s="11"/>
      <c r="P332" s="12"/>
      <c r="Q332" s="12"/>
    </row>
    <row r="333">
      <c r="O333" s="11"/>
      <c r="P333" s="12"/>
      <c r="Q333" s="12"/>
    </row>
    <row r="334">
      <c r="O334" s="11"/>
      <c r="P334" s="12"/>
      <c r="Q334" s="12"/>
    </row>
    <row r="335">
      <c r="O335" s="11"/>
      <c r="P335" s="12"/>
      <c r="Q335" s="12"/>
    </row>
    <row r="336">
      <c r="O336" s="11"/>
      <c r="P336" s="12"/>
      <c r="Q336" s="12"/>
    </row>
    <row r="337">
      <c r="O337" s="11"/>
      <c r="P337" s="12"/>
      <c r="Q337" s="12"/>
    </row>
    <row r="338">
      <c r="O338" s="11"/>
      <c r="P338" s="12"/>
      <c r="Q338" s="12"/>
    </row>
    <row r="339">
      <c r="O339" s="11"/>
      <c r="P339" s="12"/>
      <c r="Q339" s="12"/>
    </row>
    <row r="340">
      <c r="O340" s="11"/>
      <c r="P340" s="12"/>
      <c r="Q340" s="12"/>
    </row>
    <row r="341">
      <c r="O341" s="11"/>
      <c r="P341" s="12"/>
      <c r="Q341" s="12"/>
    </row>
    <row r="342">
      <c r="O342" s="11"/>
      <c r="P342" s="12"/>
      <c r="Q342" s="12"/>
    </row>
    <row r="343">
      <c r="O343" s="11"/>
      <c r="P343" s="12"/>
      <c r="Q343" s="12"/>
    </row>
    <row r="344">
      <c r="O344" s="11"/>
      <c r="P344" s="12"/>
      <c r="Q344" s="12"/>
    </row>
    <row r="345">
      <c r="O345" s="11"/>
      <c r="P345" s="12"/>
      <c r="Q345" s="12"/>
    </row>
    <row r="346">
      <c r="O346" s="11"/>
      <c r="P346" s="12"/>
      <c r="Q346" s="12"/>
    </row>
    <row r="347">
      <c r="O347" s="11"/>
      <c r="P347" s="12"/>
      <c r="Q347" s="12"/>
    </row>
    <row r="348">
      <c r="O348" s="11"/>
      <c r="P348" s="12"/>
      <c r="Q348" s="12"/>
    </row>
    <row r="349">
      <c r="O349" s="11"/>
      <c r="P349" s="12"/>
      <c r="Q349" s="12"/>
    </row>
    <row r="350">
      <c r="O350" s="11"/>
      <c r="P350" s="12"/>
      <c r="Q350" s="12"/>
    </row>
    <row r="351">
      <c r="O351" s="11"/>
      <c r="P351" s="12"/>
      <c r="Q351" s="12"/>
    </row>
    <row r="352">
      <c r="O352" s="11"/>
      <c r="P352" s="12"/>
      <c r="Q352" s="12"/>
    </row>
    <row r="353">
      <c r="O353" s="11"/>
      <c r="P353" s="12"/>
      <c r="Q353" s="12"/>
    </row>
    <row r="354">
      <c r="O354" s="11"/>
      <c r="P354" s="12"/>
      <c r="Q354" s="12"/>
    </row>
    <row r="355">
      <c r="O355" s="11"/>
      <c r="P355" s="12"/>
      <c r="Q355" s="12"/>
    </row>
    <row r="356">
      <c r="O356" s="11"/>
      <c r="P356" s="12"/>
      <c r="Q356" s="12"/>
    </row>
    <row r="357">
      <c r="O357" s="11"/>
      <c r="P357" s="12"/>
      <c r="Q357" s="12"/>
    </row>
    <row r="358">
      <c r="O358" s="11"/>
      <c r="P358" s="12"/>
      <c r="Q358" s="12"/>
    </row>
    <row r="359">
      <c r="O359" s="11"/>
      <c r="P359" s="12"/>
      <c r="Q359" s="12"/>
    </row>
    <row r="360">
      <c r="O360" s="11"/>
      <c r="P360" s="12"/>
      <c r="Q360" s="12"/>
    </row>
    <row r="361">
      <c r="O361" s="11"/>
      <c r="P361" s="12"/>
      <c r="Q361" s="12"/>
    </row>
    <row r="362">
      <c r="O362" s="11"/>
      <c r="P362" s="12"/>
      <c r="Q362" s="12"/>
    </row>
    <row r="363">
      <c r="O363" s="11"/>
      <c r="P363" s="12"/>
      <c r="Q363" s="12"/>
    </row>
    <row r="364">
      <c r="O364" s="11"/>
      <c r="P364" s="12"/>
      <c r="Q364" s="12"/>
    </row>
    <row r="365">
      <c r="O365" s="11"/>
      <c r="P365" s="12"/>
      <c r="Q365" s="12"/>
    </row>
    <row r="366">
      <c r="O366" s="11"/>
      <c r="P366" s="12"/>
      <c r="Q366" s="12"/>
    </row>
    <row r="367">
      <c r="O367" s="11"/>
      <c r="P367" s="12"/>
      <c r="Q367" s="12"/>
    </row>
    <row r="368">
      <c r="O368" s="11"/>
      <c r="P368" s="12"/>
      <c r="Q368" s="12"/>
    </row>
    <row r="369">
      <c r="O369" s="11"/>
      <c r="P369" s="12"/>
      <c r="Q369" s="12"/>
    </row>
    <row r="370">
      <c r="O370" s="11"/>
      <c r="P370" s="12"/>
      <c r="Q370" s="12"/>
    </row>
    <row r="371">
      <c r="O371" s="11"/>
      <c r="P371" s="12"/>
      <c r="Q371" s="12"/>
    </row>
    <row r="372">
      <c r="O372" s="11"/>
      <c r="P372" s="12"/>
      <c r="Q372" s="12"/>
    </row>
    <row r="373">
      <c r="O373" s="11"/>
      <c r="P373" s="12"/>
      <c r="Q373" s="12"/>
    </row>
    <row r="374">
      <c r="O374" s="11"/>
      <c r="P374" s="12"/>
      <c r="Q374" s="12"/>
    </row>
    <row r="375">
      <c r="O375" s="11"/>
      <c r="P375" s="12"/>
      <c r="Q375" s="12"/>
    </row>
    <row r="376">
      <c r="O376" s="11"/>
      <c r="P376" s="12"/>
      <c r="Q376" s="12"/>
    </row>
    <row r="377">
      <c r="O377" s="11"/>
      <c r="P377" s="12"/>
      <c r="Q377" s="12"/>
    </row>
    <row r="378">
      <c r="O378" s="11"/>
      <c r="P378" s="12"/>
      <c r="Q378" s="12"/>
    </row>
    <row r="379">
      <c r="O379" s="11"/>
      <c r="P379" s="12"/>
      <c r="Q379" s="12"/>
    </row>
    <row r="380">
      <c r="O380" s="11"/>
      <c r="P380" s="12"/>
      <c r="Q380" s="12"/>
    </row>
    <row r="381">
      <c r="O381" s="11"/>
      <c r="P381" s="12"/>
      <c r="Q381" s="12"/>
    </row>
    <row r="382">
      <c r="O382" s="11"/>
      <c r="P382" s="12"/>
      <c r="Q382" s="12"/>
    </row>
    <row r="383">
      <c r="O383" s="11"/>
      <c r="P383" s="12"/>
      <c r="Q383" s="12"/>
    </row>
    <row r="384">
      <c r="O384" s="11"/>
      <c r="P384" s="12"/>
      <c r="Q384" s="12"/>
    </row>
    <row r="385">
      <c r="O385" s="11"/>
      <c r="P385" s="12"/>
      <c r="Q385" s="12"/>
    </row>
    <row r="386">
      <c r="O386" s="11"/>
      <c r="P386" s="12"/>
      <c r="Q386" s="12"/>
    </row>
    <row r="387">
      <c r="O387" s="11"/>
      <c r="P387" s="12"/>
      <c r="Q387" s="12"/>
    </row>
    <row r="388">
      <c r="O388" s="11"/>
      <c r="P388" s="12"/>
      <c r="Q388" s="12"/>
    </row>
    <row r="389">
      <c r="O389" s="11"/>
      <c r="P389" s="12"/>
      <c r="Q389" s="12"/>
    </row>
    <row r="390">
      <c r="O390" s="11"/>
      <c r="P390" s="12"/>
      <c r="Q390" s="12"/>
    </row>
    <row r="391">
      <c r="O391" s="11"/>
      <c r="P391" s="12"/>
      <c r="Q391" s="12"/>
    </row>
    <row r="392">
      <c r="O392" s="11"/>
      <c r="P392" s="12"/>
      <c r="Q392" s="12"/>
    </row>
    <row r="393">
      <c r="O393" s="11"/>
      <c r="P393" s="12"/>
      <c r="Q393" s="12"/>
    </row>
    <row r="394">
      <c r="O394" s="11"/>
      <c r="P394" s="12"/>
      <c r="Q394" s="12"/>
    </row>
    <row r="395">
      <c r="O395" s="11"/>
      <c r="P395" s="12"/>
      <c r="Q395" s="12"/>
    </row>
    <row r="396">
      <c r="O396" s="11"/>
      <c r="P396" s="12"/>
      <c r="Q396" s="12"/>
    </row>
    <row r="397">
      <c r="O397" s="11"/>
      <c r="P397" s="12"/>
      <c r="Q397" s="12"/>
    </row>
    <row r="398">
      <c r="O398" s="11"/>
      <c r="P398" s="12"/>
      <c r="Q398" s="12"/>
    </row>
    <row r="399">
      <c r="O399" s="11"/>
      <c r="P399" s="12"/>
      <c r="Q399" s="12"/>
    </row>
    <row r="400">
      <c r="O400" s="11"/>
      <c r="P400" s="12"/>
      <c r="Q400" s="12"/>
    </row>
    <row r="401">
      <c r="O401" s="11"/>
      <c r="P401" s="12"/>
      <c r="Q401" s="12"/>
    </row>
    <row r="402">
      <c r="O402" s="11"/>
      <c r="P402" s="12"/>
      <c r="Q402" s="12"/>
    </row>
    <row r="403">
      <c r="O403" s="11"/>
      <c r="P403" s="12"/>
      <c r="Q403" s="12"/>
    </row>
    <row r="404">
      <c r="O404" s="11"/>
      <c r="P404" s="12"/>
      <c r="Q404" s="12"/>
    </row>
    <row r="405">
      <c r="O405" s="11"/>
      <c r="P405" s="12"/>
      <c r="Q405" s="12"/>
    </row>
    <row r="406">
      <c r="O406" s="11"/>
      <c r="P406" s="12"/>
      <c r="Q406" s="12"/>
    </row>
    <row r="407">
      <c r="O407" s="11"/>
      <c r="P407" s="12"/>
      <c r="Q407" s="12"/>
    </row>
    <row r="408">
      <c r="O408" s="11"/>
      <c r="P408" s="12"/>
      <c r="Q408" s="12"/>
    </row>
    <row r="409">
      <c r="O409" s="11"/>
      <c r="P409" s="12"/>
      <c r="Q409" s="12"/>
    </row>
    <row r="410">
      <c r="O410" s="11"/>
      <c r="P410" s="12"/>
      <c r="Q410" s="12"/>
    </row>
    <row r="411">
      <c r="O411" s="11"/>
      <c r="P411" s="12"/>
      <c r="Q411" s="12"/>
    </row>
    <row r="412">
      <c r="O412" s="11"/>
      <c r="P412" s="12"/>
      <c r="Q412" s="12"/>
    </row>
    <row r="413">
      <c r="O413" s="11"/>
      <c r="P413" s="12"/>
      <c r="Q413" s="12"/>
    </row>
    <row r="414">
      <c r="O414" s="11"/>
      <c r="P414" s="12"/>
      <c r="Q414" s="12"/>
    </row>
    <row r="415">
      <c r="O415" s="11"/>
      <c r="P415" s="12"/>
      <c r="Q415" s="12"/>
    </row>
    <row r="416">
      <c r="O416" s="11"/>
      <c r="P416" s="12"/>
      <c r="Q416" s="12"/>
    </row>
    <row r="417">
      <c r="O417" s="11"/>
      <c r="P417" s="12"/>
      <c r="Q417" s="12"/>
    </row>
    <row r="418">
      <c r="O418" s="11"/>
      <c r="P418" s="12"/>
      <c r="Q418" s="12"/>
    </row>
    <row r="419">
      <c r="O419" s="11"/>
      <c r="P419" s="12"/>
      <c r="Q419" s="12"/>
    </row>
    <row r="420">
      <c r="O420" s="11"/>
      <c r="P420" s="12"/>
      <c r="Q420" s="12"/>
    </row>
    <row r="421">
      <c r="O421" s="11"/>
      <c r="P421" s="12"/>
      <c r="Q421" s="12"/>
    </row>
    <row r="422">
      <c r="O422" s="11"/>
      <c r="P422" s="12"/>
      <c r="Q422" s="12"/>
    </row>
    <row r="423">
      <c r="O423" s="11"/>
      <c r="P423" s="12"/>
      <c r="Q423" s="12"/>
    </row>
    <row r="424">
      <c r="O424" s="11"/>
      <c r="P424" s="12"/>
      <c r="Q424" s="12"/>
    </row>
    <row r="425">
      <c r="O425" s="11"/>
      <c r="P425" s="12"/>
      <c r="Q425" s="12"/>
    </row>
    <row r="426">
      <c r="O426" s="11"/>
      <c r="P426" s="12"/>
      <c r="Q426" s="12"/>
    </row>
    <row r="427">
      <c r="O427" s="11"/>
      <c r="P427" s="12"/>
      <c r="Q427" s="12"/>
    </row>
    <row r="428">
      <c r="O428" s="11"/>
      <c r="P428" s="12"/>
      <c r="Q428" s="12"/>
    </row>
    <row r="429">
      <c r="O429" s="11"/>
      <c r="P429" s="12"/>
      <c r="Q429" s="12"/>
    </row>
    <row r="430">
      <c r="O430" s="11"/>
      <c r="P430" s="12"/>
      <c r="Q430" s="12"/>
    </row>
    <row r="431">
      <c r="O431" s="11"/>
      <c r="P431" s="12"/>
      <c r="Q431" s="12"/>
    </row>
    <row r="432">
      <c r="O432" s="11"/>
      <c r="P432" s="12"/>
      <c r="Q432" s="12"/>
    </row>
    <row r="433">
      <c r="O433" s="11"/>
      <c r="P433" s="12"/>
      <c r="Q433" s="12"/>
    </row>
    <row r="434">
      <c r="O434" s="11"/>
      <c r="P434" s="12"/>
      <c r="Q434" s="12"/>
    </row>
    <row r="435">
      <c r="O435" s="11"/>
      <c r="P435" s="12"/>
      <c r="Q435" s="12"/>
    </row>
    <row r="436">
      <c r="O436" s="11"/>
      <c r="P436" s="12"/>
      <c r="Q436" s="12"/>
    </row>
    <row r="437">
      <c r="O437" s="11"/>
      <c r="P437" s="12"/>
      <c r="Q437" s="12"/>
    </row>
    <row r="438">
      <c r="O438" s="11"/>
      <c r="P438" s="12"/>
      <c r="Q438" s="12"/>
    </row>
    <row r="439">
      <c r="O439" s="11"/>
      <c r="P439" s="12"/>
      <c r="Q439" s="12"/>
    </row>
    <row r="440">
      <c r="O440" s="11"/>
      <c r="P440" s="12"/>
      <c r="Q440" s="12"/>
    </row>
    <row r="441">
      <c r="O441" s="11"/>
      <c r="P441" s="12"/>
      <c r="Q441" s="12"/>
    </row>
    <row r="442">
      <c r="O442" s="11"/>
      <c r="P442" s="12"/>
      <c r="Q442" s="12"/>
    </row>
    <row r="443">
      <c r="O443" s="11"/>
      <c r="P443" s="12"/>
      <c r="Q443" s="12"/>
    </row>
    <row r="444">
      <c r="O444" s="11"/>
      <c r="P444" s="12"/>
      <c r="Q444" s="12"/>
    </row>
    <row r="445">
      <c r="O445" s="11"/>
      <c r="P445" s="12"/>
      <c r="Q445" s="12"/>
    </row>
    <row r="446">
      <c r="O446" s="11"/>
      <c r="P446" s="12"/>
      <c r="Q446" s="12"/>
    </row>
    <row r="447">
      <c r="O447" s="11"/>
      <c r="P447" s="12"/>
      <c r="Q447" s="12"/>
    </row>
    <row r="448">
      <c r="O448" s="11"/>
      <c r="P448" s="12"/>
      <c r="Q448" s="12"/>
    </row>
    <row r="449">
      <c r="O449" s="11"/>
      <c r="P449" s="12"/>
      <c r="Q449" s="12"/>
    </row>
    <row r="450">
      <c r="O450" s="11"/>
      <c r="P450" s="12"/>
      <c r="Q450" s="12"/>
    </row>
    <row r="451">
      <c r="O451" s="11"/>
      <c r="P451" s="12"/>
      <c r="Q451" s="12"/>
    </row>
    <row r="452">
      <c r="O452" s="11"/>
      <c r="P452" s="12"/>
      <c r="Q452" s="12"/>
    </row>
    <row r="453">
      <c r="O453" s="11"/>
      <c r="P453" s="12"/>
      <c r="Q453" s="12"/>
    </row>
    <row r="454">
      <c r="O454" s="11"/>
      <c r="P454" s="12"/>
      <c r="Q454" s="12"/>
    </row>
    <row r="455">
      <c r="O455" s="11"/>
      <c r="P455" s="12"/>
      <c r="Q455" s="12"/>
    </row>
    <row r="456">
      <c r="O456" s="11"/>
      <c r="P456" s="12"/>
      <c r="Q456" s="12"/>
    </row>
    <row r="457">
      <c r="O457" s="11"/>
      <c r="P457" s="12"/>
      <c r="Q457" s="12"/>
    </row>
    <row r="458">
      <c r="O458" s="11"/>
      <c r="P458" s="12"/>
      <c r="Q458" s="12"/>
    </row>
    <row r="459">
      <c r="O459" s="11"/>
      <c r="P459" s="12"/>
      <c r="Q459" s="12"/>
    </row>
    <row r="460">
      <c r="O460" s="11"/>
      <c r="P460" s="12"/>
      <c r="Q460" s="12"/>
    </row>
    <row r="461">
      <c r="O461" s="11"/>
      <c r="P461" s="12"/>
      <c r="Q461" s="12"/>
    </row>
    <row r="462">
      <c r="O462" s="11"/>
      <c r="P462" s="12"/>
      <c r="Q462" s="12"/>
    </row>
    <row r="463">
      <c r="O463" s="11"/>
      <c r="P463" s="12"/>
      <c r="Q463" s="12"/>
    </row>
    <row r="464">
      <c r="O464" s="11"/>
      <c r="P464" s="12"/>
      <c r="Q464" s="12"/>
    </row>
    <row r="465">
      <c r="O465" s="11"/>
      <c r="P465" s="12"/>
      <c r="Q465" s="12"/>
    </row>
    <row r="466">
      <c r="O466" s="11"/>
      <c r="P466" s="12"/>
      <c r="Q466" s="12"/>
    </row>
    <row r="467">
      <c r="O467" s="11"/>
      <c r="P467" s="12"/>
      <c r="Q467" s="12"/>
    </row>
    <row r="468">
      <c r="O468" s="11"/>
      <c r="P468" s="12"/>
      <c r="Q468" s="12"/>
    </row>
    <row r="469">
      <c r="O469" s="11"/>
      <c r="P469" s="12"/>
      <c r="Q469" s="12"/>
    </row>
    <row r="470">
      <c r="O470" s="11"/>
      <c r="P470" s="12"/>
      <c r="Q470" s="12"/>
    </row>
    <row r="471">
      <c r="O471" s="11"/>
      <c r="P471" s="12"/>
      <c r="Q471" s="12"/>
    </row>
    <row r="472">
      <c r="O472" s="11"/>
      <c r="P472" s="12"/>
      <c r="Q472" s="12"/>
    </row>
    <row r="473">
      <c r="O473" s="11"/>
      <c r="P473" s="12"/>
      <c r="Q473" s="12"/>
    </row>
    <row r="474">
      <c r="O474" s="11"/>
      <c r="P474" s="12"/>
      <c r="Q474" s="12"/>
    </row>
    <row r="475">
      <c r="O475" s="11"/>
      <c r="P475" s="12"/>
      <c r="Q475" s="12"/>
    </row>
    <row r="476">
      <c r="O476" s="11"/>
      <c r="P476" s="12"/>
      <c r="Q476" s="12"/>
    </row>
    <row r="477">
      <c r="O477" s="11"/>
      <c r="P477" s="12"/>
      <c r="Q477" s="12"/>
    </row>
    <row r="478">
      <c r="O478" s="11"/>
      <c r="P478" s="12"/>
      <c r="Q478" s="12"/>
    </row>
    <row r="479">
      <c r="O479" s="11"/>
      <c r="P479" s="12"/>
      <c r="Q479" s="12"/>
    </row>
    <row r="480">
      <c r="O480" s="11"/>
      <c r="P480" s="12"/>
      <c r="Q480" s="12"/>
    </row>
    <row r="481">
      <c r="O481" s="11"/>
      <c r="P481" s="12"/>
      <c r="Q481" s="12"/>
    </row>
    <row r="482">
      <c r="O482" s="11"/>
      <c r="P482" s="12"/>
      <c r="Q482" s="12"/>
    </row>
    <row r="483">
      <c r="O483" s="11"/>
      <c r="P483" s="12"/>
      <c r="Q483" s="12"/>
    </row>
    <row r="484">
      <c r="O484" s="11"/>
      <c r="P484" s="12"/>
      <c r="Q484" s="12"/>
    </row>
    <row r="485">
      <c r="O485" s="11"/>
      <c r="P485" s="12"/>
      <c r="Q485" s="12"/>
    </row>
    <row r="486">
      <c r="O486" s="11"/>
      <c r="P486" s="12"/>
      <c r="Q486" s="12"/>
    </row>
    <row r="487">
      <c r="O487" s="11"/>
      <c r="P487" s="12"/>
      <c r="Q487" s="12"/>
    </row>
    <row r="488">
      <c r="O488" s="11"/>
      <c r="P488" s="12"/>
      <c r="Q488" s="12"/>
    </row>
    <row r="489">
      <c r="O489" s="11"/>
      <c r="P489" s="12"/>
      <c r="Q489" s="12"/>
    </row>
    <row r="490">
      <c r="O490" s="11"/>
      <c r="P490" s="12"/>
      <c r="Q490" s="12"/>
    </row>
    <row r="491">
      <c r="O491" s="11"/>
      <c r="P491" s="12"/>
      <c r="Q491" s="12"/>
    </row>
    <row r="492">
      <c r="O492" s="11"/>
      <c r="P492" s="12"/>
      <c r="Q492" s="12"/>
    </row>
    <row r="493">
      <c r="O493" s="11"/>
      <c r="P493" s="12"/>
      <c r="Q493" s="12"/>
    </row>
    <row r="494">
      <c r="O494" s="11"/>
      <c r="P494" s="12"/>
      <c r="Q494" s="12"/>
    </row>
    <row r="495">
      <c r="O495" s="11"/>
      <c r="P495" s="12"/>
      <c r="Q495" s="12"/>
    </row>
    <row r="496">
      <c r="O496" s="11"/>
      <c r="P496" s="12"/>
      <c r="Q496" s="12"/>
    </row>
    <row r="497">
      <c r="O497" s="11"/>
      <c r="P497" s="12"/>
      <c r="Q497" s="12"/>
    </row>
    <row r="498">
      <c r="O498" s="11"/>
      <c r="P498" s="12"/>
      <c r="Q498" s="12"/>
    </row>
    <row r="499">
      <c r="O499" s="11"/>
      <c r="P499" s="12"/>
      <c r="Q499" s="12"/>
    </row>
    <row r="500">
      <c r="O500" s="11"/>
      <c r="P500" s="12"/>
      <c r="Q500" s="12"/>
    </row>
    <row r="501">
      <c r="O501" s="11"/>
      <c r="P501" s="12"/>
      <c r="Q501" s="12"/>
    </row>
    <row r="502">
      <c r="O502" s="11"/>
      <c r="P502" s="12"/>
      <c r="Q502" s="12"/>
    </row>
    <row r="503">
      <c r="O503" s="11"/>
      <c r="P503" s="12"/>
      <c r="Q503" s="12"/>
    </row>
    <row r="504">
      <c r="O504" s="11"/>
      <c r="P504" s="12"/>
      <c r="Q504" s="12"/>
    </row>
    <row r="505">
      <c r="O505" s="11"/>
      <c r="P505" s="12"/>
      <c r="Q505" s="12"/>
    </row>
    <row r="506">
      <c r="O506" s="11"/>
      <c r="P506" s="12"/>
      <c r="Q506" s="12"/>
    </row>
    <row r="507">
      <c r="O507" s="11"/>
      <c r="P507" s="12"/>
      <c r="Q507" s="12"/>
    </row>
    <row r="508">
      <c r="O508" s="11"/>
      <c r="P508" s="12"/>
      <c r="Q508" s="12"/>
    </row>
    <row r="509">
      <c r="O509" s="11"/>
      <c r="P509" s="12"/>
      <c r="Q509" s="12"/>
    </row>
    <row r="510">
      <c r="O510" s="11"/>
      <c r="P510" s="12"/>
      <c r="Q510" s="12"/>
    </row>
    <row r="511">
      <c r="O511" s="11"/>
      <c r="P511" s="12"/>
      <c r="Q511" s="12"/>
    </row>
    <row r="512">
      <c r="O512" s="11"/>
      <c r="P512" s="12"/>
      <c r="Q512" s="12"/>
    </row>
    <row r="513">
      <c r="O513" s="11"/>
      <c r="P513" s="12"/>
      <c r="Q513" s="12"/>
    </row>
    <row r="514">
      <c r="O514" s="11"/>
      <c r="P514" s="12"/>
      <c r="Q514" s="12"/>
    </row>
    <row r="515">
      <c r="O515" s="11"/>
      <c r="P515" s="12"/>
      <c r="Q515" s="12"/>
    </row>
    <row r="516">
      <c r="O516" s="11"/>
      <c r="P516" s="12"/>
      <c r="Q516" s="12"/>
    </row>
    <row r="517">
      <c r="O517" s="11"/>
      <c r="P517" s="12"/>
      <c r="Q517" s="12"/>
    </row>
    <row r="518">
      <c r="O518" s="11"/>
      <c r="P518" s="12"/>
      <c r="Q518" s="12"/>
    </row>
    <row r="519">
      <c r="O519" s="11"/>
      <c r="P519" s="12"/>
      <c r="Q519" s="12"/>
    </row>
    <row r="520">
      <c r="O520" s="11"/>
      <c r="P520" s="12"/>
      <c r="Q520" s="12"/>
    </row>
    <row r="521">
      <c r="O521" s="11"/>
      <c r="P521" s="12"/>
      <c r="Q521" s="12"/>
    </row>
    <row r="522">
      <c r="O522" s="11"/>
      <c r="P522" s="12"/>
      <c r="Q522" s="12"/>
    </row>
    <row r="523">
      <c r="O523" s="11"/>
      <c r="P523" s="12"/>
      <c r="Q523" s="12"/>
    </row>
    <row r="524">
      <c r="O524" s="11"/>
      <c r="P524" s="12"/>
      <c r="Q524" s="12"/>
    </row>
    <row r="525">
      <c r="O525" s="11"/>
      <c r="P525" s="12"/>
      <c r="Q525" s="12"/>
    </row>
    <row r="526">
      <c r="O526" s="11"/>
      <c r="P526" s="12"/>
      <c r="Q526" s="12"/>
    </row>
    <row r="527">
      <c r="O527" s="11"/>
      <c r="P527" s="12"/>
      <c r="Q527" s="12"/>
    </row>
    <row r="528">
      <c r="O528" s="11"/>
      <c r="P528" s="12"/>
      <c r="Q528" s="12"/>
    </row>
    <row r="529">
      <c r="O529" s="11"/>
      <c r="P529" s="12"/>
      <c r="Q529" s="12"/>
    </row>
    <row r="530">
      <c r="O530" s="11"/>
      <c r="P530" s="12"/>
      <c r="Q530" s="12"/>
    </row>
    <row r="531">
      <c r="O531" s="11"/>
      <c r="P531" s="12"/>
      <c r="Q531" s="12"/>
    </row>
    <row r="532">
      <c r="O532" s="11"/>
      <c r="P532" s="12"/>
      <c r="Q532" s="12"/>
    </row>
    <row r="533">
      <c r="O533" s="11"/>
      <c r="P533" s="12"/>
      <c r="Q533" s="12"/>
    </row>
    <row r="534">
      <c r="O534" s="11"/>
      <c r="P534" s="12"/>
      <c r="Q534" s="12"/>
    </row>
    <row r="535">
      <c r="O535" s="11"/>
      <c r="P535" s="12"/>
      <c r="Q535" s="12"/>
    </row>
    <row r="536">
      <c r="O536" s="11"/>
      <c r="P536" s="12"/>
      <c r="Q536" s="12"/>
    </row>
    <row r="537">
      <c r="O537" s="11"/>
      <c r="P537" s="12"/>
      <c r="Q537" s="12"/>
    </row>
    <row r="538">
      <c r="O538" s="11"/>
      <c r="P538" s="12"/>
      <c r="Q538" s="12"/>
    </row>
    <row r="539">
      <c r="O539" s="11"/>
      <c r="P539" s="12"/>
      <c r="Q539" s="12"/>
    </row>
    <row r="540">
      <c r="O540" s="11"/>
      <c r="P540" s="12"/>
      <c r="Q540" s="12"/>
    </row>
    <row r="541">
      <c r="O541" s="11"/>
      <c r="P541" s="12"/>
      <c r="Q541" s="12"/>
    </row>
    <row r="542">
      <c r="O542" s="11"/>
      <c r="P542" s="12"/>
      <c r="Q542" s="12"/>
    </row>
    <row r="543">
      <c r="O543" s="11"/>
      <c r="P543" s="12"/>
      <c r="Q543" s="12"/>
    </row>
    <row r="544">
      <c r="O544" s="11"/>
      <c r="P544" s="12"/>
      <c r="Q544" s="12"/>
    </row>
    <row r="545">
      <c r="O545" s="11"/>
      <c r="P545" s="12"/>
      <c r="Q545" s="12"/>
    </row>
    <row r="546">
      <c r="O546" s="11"/>
      <c r="P546" s="12"/>
      <c r="Q546" s="12"/>
    </row>
    <row r="547">
      <c r="O547" s="11"/>
      <c r="P547" s="12"/>
      <c r="Q547" s="12"/>
    </row>
    <row r="548">
      <c r="O548" s="11"/>
      <c r="P548" s="12"/>
      <c r="Q548" s="12"/>
    </row>
    <row r="549">
      <c r="O549" s="11"/>
      <c r="P549" s="12"/>
      <c r="Q549" s="12"/>
    </row>
    <row r="550">
      <c r="O550" s="11"/>
      <c r="P550" s="12"/>
      <c r="Q550" s="12"/>
    </row>
    <row r="551">
      <c r="O551" s="11"/>
      <c r="P551" s="12"/>
      <c r="Q551" s="12"/>
    </row>
    <row r="552">
      <c r="O552" s="11"/>
      <c r="P552" s="12"/>
      <c r="Q552" s="12"/>
    </row>
    <row r="553">
      <c r="O553" s="11"/>
      <c r="P553" s="12"/>
      <c r="Q553" s="12"/>
    </row>
    <row r="554">
      <c r="O554" s="11"/>
      <c r="P554" s="12"/>
      <c r="Q554" s="12"/>
    </row>
    <row r="555">
      <c r="O555" s="11"/>
      <c r="P555" s="12"/>
      <c r="Q555" s="12"/>
    </row>
    <row r="556">
      <c r="O556" s="11"/>
      <c r="P556" s="12"/>
      <c r="Q556" s="12"/>
    </row>
    <row r="557">
      <c r="O557" s="11"/>
      <c r="P557" s="12"/>
      <c r="Q557" s="12"/>
    </row>
    <row r="558">
      <c r="O558" s="11"/>
      <c r="P558" s="12"/>
      <c r="Q558" s="12"/>
    </row>
    <row r="559">
      <c r="O559" s="11"/>
      <c r="P559" s="12"/>
      <c r="Q559" s="12"/>
    </row>
    <row r="560">
      <c r="O560" s="11"/>
      <c r="P560" s="12"/>
      <c r="Q560" s="12"/>
    </row>
    <row r="561">
      <c r="O561" s="11"/>
      <c r="P561" s="12"/>
      <c r="Q561" s="12"/>
    </row>
    <row r="562">
      <c r="O562" s="11"/>
      <c r="P562" s="12"/>
      <c r="Q562" s="12"/>
    </row>
    <row r="563">
      <c r="O563" s="11"/>
      <c r="P563" s="12"/>
      <c r="Q563" s="12"/>
    </row>
    <row r="564">
      <c r="O564" s="11"/>
      <c r="P564" s="12"/>
      <c r="Q564" s="12"/>
    </row>
    <row r="565">
      <c r="O565" s="11"/>
      <c r="P565" s="12"/>
      <c r="Q565" s="12"/>
    </row>
    <row r="566">
      <c r="O566" s="11"/>
      <c r="P566" s="12"/>
      <c r="Q566" s="12"/>
    </row>
    <row r="567">
      <c r="O567" s="11"/>
      <c r="P567" s="12"/>
      <c r="Q567" s="12"/>
    </row>
    <row r="568">
      <c r="O568" s="11"/>
      <c r="P568" s="12"/>
      <c r="Q568" s="12"/>
    </row>
    <row r="569">
      <c r="O569" s="11"/>
      <c r="P569" s="12"/>
      <c r="Q569" s="12"/>
    </row>
    <row r="570">
      <c r="O570" s="11"/>
      <c r="P570" s="12"/>
      <c r="Q570" s="12"/>
    </row>
    <row r="571">
      <c r="O571" s="11"/>
      <c r="P571" s="12"/>
      <c r="Q571" s="12"/>
    </row>
    <row r="572">
      <c r="O572" s="11"/>
      <c r="P572" s="12"/>
      <c r="Q572" s="12"/>
    </row>
    <row r="573">
      <c r="O573" s="11"/>
      <c r="P573" s="12"/>
      <c r="Q573" s="12"/>
    </row>
    <row r="574">
      <c r="O574" s="11"/>
      <c r="P574" s="12"/>
      <c r="Q574" s="12"/>
    </row>
    <row r="575">
      <c r="O575" s="11"/>
      <c r="P575" s="12"/>
      <c r="Q575" s="12"/>
    </row>
    <row r="576">
      <c r="O576" s="11"/>
      <c r="P576" s="12"/>
      <c r="Q576" s="12"/>
    </row>
    <row r="577">
      <c r="O577" s="11"/>
      <c r="P577" s="12"/>
      <c r="Q577" s="12"/>
    </row>
    <row r="578">
      <c r="O578" s="11"/>
      <c r="P578" s="12"/>
      <c r="Q578" s="12"/>
    </row>
    <row r="579">
      <c r="O579" s="11"/>
      <c r="P579" s="12"/>
      <c r="Q579" s="12"/>
    </row>
    <row r="580">
      <c r="O580" s="11"/>
      <c r="P580" s="12"/>
      <c r="Q580" s="12"/>
    </row>
    <row r="581">
      <c r="O581" s="11"/>
      <c r="P581" s="12"/>
      <c r="Q581" s="12"/>
    </row>
    <row r="582">
      <c r="O582" s="11"/>
      <c r="P582" s="12"/>
      <c r="Q582" s="12"/>
    </row>
    <row r="583">
      <c r="O583" s="11"/>
      <c r="P583" s="12"/>
      <c r="Q583" s="12"/>
    </row>
    <row r="584">
      <c r="O584" s="11"/>
      <c r="P584" s="12"/>
      <c r="Q584" s="12"/>
    </row>
    <row r="585">
      <c r="O585" s="11"/>
      <c r="P585" s="12"/>
      <c r="Q585" s="12"/>
    </row>
    <row r="586">
      <c r="O586" s="11"/>
      <c r="P586" s="12"/>
      <c r="Q586" s="12"/>
    </row>
    <row r="587">
      <c r="O587" s="11"/>
      <c r="P587" s="12"/>
      <c r="Q587" s="12"/>
    </row>
    <row r="588">
      <c r="O588" s="11"/>
      <c r="P588" s="12"/>
      <c r="Q588" s="12"/>
    </row>
    <row r="589">
      <c r="O589" s="11"/>
      <c r="P589" s="12"/>
      <c r="Q589" s="12"/>
    </row>
    <row r="590">
      <c r="O590" s="11"/>
      <c r="P590" s="12"/>
      <c r="Q590" s="12"/>
    </row>
    <row r="591">
      <c r="O591" s="11"/>
      <c r="P591" s="12"/>
      <c r="Q591" s="12"/>
    </row>
    <row r="592">
      <c r="O592" s="11"/>
      <c r="P592" s="12"/>
      <c r="Q592" s="12"/>
    </row>
    <row r="593">
      <c r="O593" s="11"/>
      <c r="P593" s="12"/>
      <c r="Q593" s="12"/>
    </row>
    <row r="594">
      <c r="O594" s="11"/>
      <c r="P594" s="12"/>
      <c r="Q594" s="12"/>
    </row>
    <row r="595">
      <c r="O595" s="11"/>
      <c r="P595" s="12"/>
      <c r="Q595" s="12"/>
    </row>
    <row r="596">
      <c r="O596" s="11"/>
      <c r="P596" s="12"/>
      <c r="Q596" s="12"/>
    </row>
    <row r="597">
      <c r="O597" s="11"/>
      <c r="P597" s="12"/>
      <c r="Q597" s="12"/>
    </row>
    <row r="598">
      <c r="O598" s="11"/>
      <c r="P598" s="12"/>
      <c r="Q598" s="12"/>
    </row>
    <row r="599">
      <c r="O599" s="11"/>
      <c r="P599" s="12"/>
      <c r="Q599" s="12"/>
    </row>
    <row r="600">
      <c r="O600" s="11"/>
      <c r="P600" s="12"/>
      <c r="Q600" s="12"/>
    </row>
    <row r="601">
      <c r="O601" s="11"/>
      <c r="P601" s="12"/>
      <c r="Q601" s="12"/>
    </row>
    <row r="602">
      <c r="O602" s="11"/>
      <c r="P602" s="12"/>
      <c r="Q602" s="12"/>
    </row>
    <row r="603">
      <c r="O603" s="11"/>
      <c r="P603" s="12"/>
      <c r="Q603" s="12"/>
    </row>
    <row r="604">
      <c r="O604" s="11"/>
      <c r="P604" s="12"/>
      <c r="Q604" s="12"/>
    </row>
    <row r="605">
      <c r="O605" s="11"/>
      <c r="P605" s="12"/>
      <c r="Q605" s="12"/>
    </row>
    <row r="606">
      <c r="O606" s="11"/>
      <c r="P606" s="12"/>
      <c r="Q606" s="12"/>
    </row>
    <row r="607">
      <c r="O607" s="11"/>
      <c r="P607" s="12"/>
      <c r="Q607" s="12"/>
    </row>
    <row r="608">
      <c r="O608" s="11"/>
      <c r="P608" s="12"/>
      <c r="Q608" s="12"/>
    </row>
    <row r="609">
      <c r="O609" s="11"/>
      <c r="P609" s="12"/>
      <c r="Q609" s="12"/>
    </row>
    <row r="610">
      <c r="O610" s="11"/>
      <c r="P610" s="12"/>
      <c r="Q610" s="12"/>
    </row>
    <row r="611">
      <c r="O611" s="11"/>
      <c r="P611" s="12"/>
      <c r="Q611" s="12"/>
    </row>
    <row r="612">
      <c r="O612" s="11"/>
      <c r="P612" s="12"/>
      <c r="Q612" s="12"/>
    </row>
    <row r="613">
      <c r="O613" s="11"/>
      <c r="P613" s="12"/>
      <c r="Q613" s="12"/>
    </row>
    <row r="614">
      <c r="O614" s="11"/>
      <c r="P614" s="12"/>
      <c r="Q614" s="12"/>
    </row>
    <row r="615">
      <c r="O615" s="11"/>
      <c r="P615" s="12"/>
      <c r="Q615" s="12"/>
    </row>
    <row r="616">
      <c r="O616" s="11"/>
      <c r="P616" s="12"/>
      <c r="Q616" s="12"/>
    </row>
    <row r="617">
      <c r="O617" s="11"/>
      <c r="P617" s="12"/>
      <c r="Q617" s="12"/>
    </row>
    <row r="618">
      <c r="O618" s="11"/>
      <c r="P618" s="12"/>
      <c r="Q618" s="12"/>
    </row>
    <row r="619">
      <c r="O619" s="11"/>
      <c r="P619" s="12"/>
      <c r="Q619" s="12"/>
    </row>
    <row r="620">
      <c r="O620" s="11"/>
      <c r="P620" s="12"/>
      <c r="Q620" s="12"/>
    </row>
    <row r="621">
      <c r="O621" s="11"/>
      <c r="P621" s="12"/>
      <c r="Q621" s="12"/>
    </row>
    <row r="622">
      <c r="O622" s="11"/>
      <c r="P622" s="12"/>
      <c r="Q622" s="12"/>
    </row>
    <row r="623">
      <c r="O623" s="11"/>
      <c r="P623" s="12"/>
      <c r="Q623" s="12"/>
    </row>
    <row r="624">
      <c r="O624" s="11"/>
      <c r="P624" s="12"/>
      <c r="Q624" s="12"/>
    </row>
    <row r="625">
      <c r="O625" s="11"/>
      <c r="P625" s="12"/>
      <c r="Q625" s="12"/>
    </row>
    <row r="626">
      <c r="O626" s="11"/>
      <c r="P626" s="12"/>
      <c r="Q626" s="12"/>
    </row>
    <row r="627">
      <c r="O627" s="11"/>
      <c r="P627" s="12"/>
      <c r="Q627" s="12"/>
    </row>
    <row r="628">
      <c r="O628" s="11"/>
      <c r="P628" s="12"/>
      <c r="Q628" s="12"/>
    </row>
    <row r="629">
      <c r="O629" s="11"/>
      <c r="P629" s="12"/>
      <c r="Q629" s="12"/>
    </row>
    <row r="630">
      <c r="O630" s="11"/>
      <c r="P630" s="12"/>
      <c r="Q630" s="12"/>
    </row>
    <row r="631">
      <c r="O631" s="11"/>
      <c r="P631" s="12"/>
      <c r="Q631" s="12"/>
    </row>
    <row r="632">
      <c r="O632" s="11"/>
      <c r="P632" s="12"/>
      <c r="Q632" s="12"/>
    </row>
    <row r="633">
      <c r="O633" s="11"/>
      <c r="P633" s="12"/>
      <c r="Q633" s="12"/>
    </row>
    <row r="634">
      <c r="O634" s="11"/>
      <c r="P634" s="12"/>
      <c r="Q634" s="12"/>
    </row>
    <row r="635">
      <c r="O635" s="11"/>
      <c r="P635" s="12"/>
      <c r="Q635" s="12"/>
    </row>
    <row r="636">
      <c r="O636" s="11"/>
      <c r="P636" s="12"/>
      <c r="Q636" s="12"/>
    </row>
    <row r="637">
      <c r="O637" s="11"/>
      <c r="P637" s="12"/>
      <c r="Q637" s="12"/>
    </row>
    <row r="638">
      <c r="O638" s="11"/>
      <c r="P638" s="12"/>
      <c r="Q638" s="12"/>
    </row>
    <row r="639">
      <c r="O639" s="11"/>
      <c r="P639" s="12"/>
      <c r="Q639" s="12"/>
    </row>
    <row r="640">
      <c r="O640" s="11"/>
      <c r="P640" s="12"/>
      <c r="Q640" s="12"/>
    </row>
    <row r="641">
      <c r="O641" s="11"/>
      <c r="P641" s="12"/>
      <c r="Q641" s="12"/>
    </row>
    <row r="642">
      <c r="O642" s="11"/>
      <c r="P642" s="12"/>
      <c r="Q642" s="12"/>
    </row>
    <row r="643">
      <c r="O643" s="11"/>
      <c r="P643" s="12"/>
      <c r="Q643" s="12"/>
    </row>
    <row r="644">
      <c r="O644" s="11"/>
      <c r="P644" s="12"/>
      <c r="Q644" s="12"/>
    </row>
    <row r="645">
      <c r="O645" s="11"/>
      <c r="P645" s="12"/>
      <c r="Q645" s="12"/>
    </row>
    <row r="646">
      <c r="O646" s="11"/>
      <c r="P646" s="12"/>
      <c r="Q646" s="12"/>
    </row>
    <row r="647">
      <c r="O647" s="11"/>
      <c r="P647" s="12"/>
      <c r="Q647" s="12"/>
    </row>
    <row r="648">
      <c r="O648" s="11"/>
      <c r="P648" s="12"/>
      <c r="Q648" s="12"/>
    </row>
    <row r="649">
      <c r="O649" s="11"/>
      <c r="P649" s="12"/>
      <c r="Q649" s="12"/>
    </row>
    <row r="650">
      <c r="O650" s="11"/>
      <c r="P650" s="12"/>
      <c r="Q650" s="12"/>
    </row>
    <row r="651">
      <c r="O651" s="11"/>
      <c r="P651" s="12"/>
      <c r="Q651" s="12"/>
    </row>
    <row r="652">
      <c r="O652" s="11"/>
      <c r="P652" s="12"/>
      <c r="Q652" s="12"/>
    </row>
    <row r="653">
      <c r="O653" s="11"/>
      <c r="P653" s="12"/>
      <c r="Q653" s="12"/>
    </row>
    <row r="654">
      <c r="O654" s="11"/>
      <c r="P654" s="12"/>
      <c r="Q654" s="12"/>
    </row>
    <row r="655">
      <c r="O655" s="11"/>
      <c r="P655" s="12"/>
      <c r="Q655" s="12"/>
    </row>
    <row r="656">
      <c r="O656" s="11"/>
      <c r="P656" s="12"/>
      <c r="Q656" s="12"/>
    </row>
    <row r="657">
      <c r="O657" s="11"/>
      <c r="P657" s="12"/>
      <c r="Q657" s="12"/>
    </row>
    <row r="658">
      <c r="O658" s="11"/>
      <c r="P658" s="12"/>
      <c r="Q658" s="12"/>
    </row>
    <row r="659">
      <c r="O659" s="11"/>
      <c r="P659" s="12"/>
      <c r="Q659" s="12"/>
    </row>
    <row r="660">
      <c r="O660" s="11"/>
      <c r="P660" s="12"/>
      <c r="Q660" s="12"/>
    </row>
    <row r="661">
      <c r="O661" s="11"/>
      <c r="P661" s="12"/>
      <c r="Q661" s="12"/>
    </row>
    <row r="662">
      <c r="O662" s="11"/>
      <c r="P662" s="12"/>
      <c r="Q662" s="12"/>
    </row>
    <row r="663">
      <c r="O663" s="11"/>
      <c r="P663" s="12"/>
      <c r="Q663" s="12"/>
    </row>
    <row r="664">
      <c r="O664" s="11"/>
      <c r="P664" s="12"/>
      <c r="Q664" s="12"/>
    </row>
    <row r="665">
      <c r="O665" s="11"/>
      <c r="P665" s="12"/>
      <c r="Q665" s="12"/>
    </row>
    <row r="666">
      <c r="O666" s="11"/>
      <c r="P666" s="12"/>
      <c r="Q666" s="12"/>
    </row>
    <row r="667">
      <c r="O667" s="11"/>
      <c r="P667" s="12"/>
      <c r="Q667" s="12"/>
    </row>
    <row r="668">
      <c r="O668" s="11"/>
      <c r="P668" s="12"/>
      <c r="Q668" s="12"/>
    </row>
    <row r="669">
      <c r="O669" s="11"/>
      <c r="P669" s="12"/>
      <c r="Q669" s="12"/>
    </row>
    <row r="670">
      <c r="O670" s="11"/>
      <c r="P670" s="12"/>
      <c r="Q670" s="12"/>
    </row>
    <row r="671">
      <c r="O671" s="11"/>
      <c r="P671" s="12"/>
      <c r="Q671" s="12"/>
    </row>
    <row r="672">
      <c r="O672" s="11"/>
      <c r="P672" s="12"/>
      <c r="Q672" s="12"/>
    </row>
    <row r="673">
      <c r="O673" s="11"/>
      <c r="P673" s="12"/>
      <c r="Q673" s="12"/>
    </row>
    <row r="674">
      <c r="O674" s="11"/>
      <c r="P674" s="12"/>
      <c r="Q674" s="12"/>
    </row>
    <row r="675">
      <c r="O675" s="11"/>
      <c r="P675" s="12"/>
      <c r="Q675" s="12"/>
    </row>
    <row r="676">
      <c r="O676" s="11"/>
      <c r="P676" s="12"/>
      <c r="Q676" s="12"/>
    </row>
    <row r="677">
      <c r="O677" s="11"/>
      <c r="P677" s="12"/>
      <c r="Q677" s="12"/>
    </row>
    <row r="678">
      <c r="O678" s="11"/>
      <c r="P678" s="12"/>
      <c r="Q678" s="12"/>
    </row>
    <row r="679">
      <c r="O679" s="11"/>
      <c r="P679" s="12"/>
      <c r="Q679" s="12"/>
    </row>
    <row r="680">
      <c r="O680" s="11"/>
      <c r="P680" s="12"/>
      <c r="Q680" s="12"/>
    </row>
    <row r="681">
      <c r="O681" s="11"/>
      <c r="P681" s="12"/>
      <c r="Q681" s="12"/>
    </row>
    <row r="682">
      <c r="O682" s="11"/>
      <c r="P682" s="12"/>
      <c r="Q682" s="12"/>
    </row>
    <row r="683">
      <c r="O683" s="11"/>
      <c r="P683" s="12"/>
      <c r="Q683" s="12"/>
    </row>
    <row r="684">
      <c r="O684" s="11"/>
      <c r="P684" s="12"/>
      <c r="Q684" s="12"/>
    </row>
    <row r="685">
      <c r="O685" s="11"/>
      <c r="P685" s="12"/>
      <c r="Q685" s="12"/>
    </row>
    <row r="686">
      <c r="O686" s="11"/>
      <c r="P686" s="12"/>
      <c r="Q686" s="12"/>
    </row>
    <row r="687">
      <c r="O687" s="11"/>
      <c r="P687" s="12"/>
      <c r="Q687" s="12"/>
    </row>
    <row r="688">
      <c r="O688" s="11"/>
      <c r="P688" s="12"/>
      <c r="Q688" s="12"/>
    </row>
    <row r="689">
      <c r="O689" s="11"/>
      <c r="P689" s="12"/>
      <c r="Q689" s="12"/>
    </row>
    <row r="690">
      <c r="O690" s="11"/>
      <c r="P690" s="12"/>
      <c r="Q690" s="12"/>
    </row>
    <row r="691">
      <c r="O691" s="11"/>
      <c r="P691" s="12"/>
      <c r="Q691" s="12"/>
    </row>
    <row r="692">
      <c r="O692" s="11"/>
      <c r="P692" s="12"/>
      <c r="Q692" s="12"/>
    </row>
    <row r="693">
      <c r="O693" s="11"/>
      <c r="P693" s="12"/>
      <c r="Q693" s="12"/>
    </row>
    <row r="694">
      <c r="O694" s="11"/>
      <c r="P694" s="12"/>
      <c r="Q694" s="12"/>
    </row>
    <row r="695">
      <c r="O695" s="11"/>
      <c r="P695" s="12"/>
      <c r="Q695" s="12"/>
    </row>
    <row r="696">
      <c r="O696" s="11"/>
      <c r="P696" s="12"/>
      <c r="Q696" s="12"/>
    </row>
    <row r="697">
      <c r="O697" s="11"/>
      <c r="P697" s="12"/>
      <c r="Q697" s="12"/>
    </row>
    <row r="698">
      <c r="O698" s="11"/>
      <c r="P698" s="12"/>
      <c r="Q698" s="12"/>
    </row>
    <row r="699">
      <c r="O699" s="11"/>
      <c r="P699" s="12"/>
      <c r="Q699" s="12"/>
    </row>
    <row r="700">
      <c r="O700" s="11"/>
      <c r="P700" s="12"/>
      <c r="Q700" s="12"/>
    </row>
    <row r="701">
      <c r="O701" s="11"/>
      <c r="P701" s="12"/>
      <c r="Q701" s="12"/>
    </row>
    <row r="702">
      <c r="O702" s="11"/>
      <c r="P702" s="12"/>
      <c r="Q702" s="12"/>
    </row>
    <row r="703">
      <c r="O703" s="11"/>
      <c r="P703" s="12"/>
      <c r="Q703" s="12"/>
    </row>
    <row r="704">
      <c r="O704" s="11"/>
      <c r="P704" s="12"/>
      <c r="Q704" s="12"/>
    </row>
    <row r="705">
      <c r="O705" s="11"/>
      <c r="P705" s="12"/>
      <c r="Q705" s="12"/>
    </row>
    <row r="706">
      <c r="O706" s="11"/>
      <c r="P706" s="12"/>
      <c r="Q706" s="12"/>
    </row>
    <row r="707">
      <c r="O707" s="11"/>
      <c r="P707" s="12"/>
      <c r="Q707" s="12"/>
    </row>
    <row r="708">
      <c r="O708" s="11"/>
      <c r="P708" s="12"/>
      <c r="Q708" s="12"/>
    </row>
    <row r="709">
      <c r="O709" s="11"/>
      <c r="P709" s="12"/>
      <c r="Q709" s="12"/>
    </row>
    <row r="710">
      <c r="O710" s="11"/>
      <c r="P710" s="12"/>
      <c r="Q710" s="12"/>
    </row>
    <row r="711">
      <c r="O711" s="11"/>
      <c r="P711" s="12"/>
      <c r="Q711" s="12"/>
    </row>
    <row r="712">
      <c r="O712" s="11"/>
      <c r="P712" s="12"/>
      <c r="Q712" s="12"/>
    </row>
    <row r="713">
      <c r="O713" s="11"/>
      <c r="P713" s="12"/>
      <c r="Q713" s="12"/>
    </row>
    <row r="714">
      <c r="O714" s="11"/>
      <c r="P714" s="12"/>
      <c r="Q714" s="12"/>
    </row>
    <row r="715">
      <c r="O715" s="11"/>
      <c r="P715" s="12"/>
      <c r="Q715" s="12"/>
    </row>
    <row r="716">
      <c r="O716" s="11"/>
      <c r="P716" s="12"/>
      <c r="Q716" s="12"/>
    </row>
    <row r="717">
      <c r="O717" s="11"/>
      <c r="P717" s="12"/>
      <c r="Q717" s="12"/>
    </row>
    <row r="718">
      <c r="O718" s="11"/>
      <c r="P718" s="12"/>
      <c r="Q718" s="12"/>
    </row>
    <row r="719">
      <c r="O719" s="11"/>
      <c r="P719" s="12"/>
      <c r="Q719" s="12"/>
    </row>
    <row r="720">
      <c r="O720" s="11"/>
      <c r="P720" s="12"/>
      <c r="Q720" s="12"/>
    </row>
    <row r="721">
      <c r="O721" s="11"/>
      <c r="P721" s="12"/>
      <c r="Q721" s="12"/>
    </row>
    <row r="722">
      <c r="O722" s="11"/>
      <c r="P722" s="12"/>
      <c r="Q722" s="12"/>
    </row>
    <row r="723">
      <c r="O723" s="11"/>
      <c r="P723" s="12"/>
      <c r="Q723" s="12"/>
    </row>
    <row r="724">
      <c r="O724" s="11"/>
      <c r="P724" s="12"/>
      <c r="Q724" s="12"/>
    </row>
    <row r="725">
      <c r="O725" s="11"/>
      <c r="P725" s="12"/>
      <c r="Q725" s="12"/>
    </row>
    <row r="726">
      <c r="O726" s="11"/>
      <c r="P726" s="12"/>
      <c r="Q726" s="12"/>
    </row>
    <row r="727">
      <c r="O727" s="11"/>
      <c r="P727" s="12"/>
      <c r="Q727" s="12"/>
    </row>
    <row r="728">
      <c r="O728" s="11"/>
      <c r="P728" s="12"/>
      <c r="Q728" s="12"/>
    </row>
    <row r="729">
      <c r="O729" s="11"/>
      <c r="P729" s="12"/>
      <c r="Q729" s="12"/>
    </row>
    <row r="730">
      <c r="O730" s="11"/>
      <c r="P730" s="12"/>
      <c r="Q730" s="12"/>
    </row>
    <row r="731">
      <c r="O731" s="11"/>
      <c r="P731" s="12"/>
      <c r="Q731" s="12"/>
    </row>
    <row r="732">
      <c r="O732" s="11"/>
      <c r="P732" s="12"/>
      <c r="Q732" s="12"/>
    </row>
    <row r="733">
      <c r="O733" s="11"/>
      <c r="P733" s="12"/>
      <c r="Q733" s="12"/>
    </row>
    <row r="734">
      <c r="O734" s="11"/>
      <c r="P734" s="12"/>
      <c r="Q734" s="12"/>
    </row>
    <row r="735">
      <c r="O735" s="11"/>
      <c r="P735" s="12"/>
      <c r="Q735" s="12"/>
    </row>
    <row r="736">
      <c r="O736" s="11"/>
      <c r="P736" s="12"/>
      <c r="Q736" s="12"/>
    </row>
    <row r="737">
      <c r="O737" s="11"/>
      <c r="P737" s="12"/>
      <c r="Q737" s="12"/>
    </row>
    <row r="738">
      <c r="O738" s="11"/>
      <c r="P738" s="12"/>
      <c r="Q738" s="12"/>
    </row>
    <row r="739">
      <c r="O739" s="11"/>
      <c r="P739" s="12"/>
      <c r="Q739" s="12"/>
    </row>
    <row r="740">
      <c r="O740" s="11"/>
      <c r="P740" s="12"/>
      <c r="Q740" s="12"/>
    </row>
    <row r="741">
      <c r="O741" s="11"/>
      <c r="P741" s="12"/>
      <c r="Q741" s="12"/>
    </row>
    <row r="742">
      <c r="O742" s="11"/>
      <c r="P742" s="12"/>
      <c r="Q742" s="12"/>
    </row>
    <row r="743">
      <c r="O743" s="11"/>
      <c r="P743" s="12"/>
      <c r="Q743" s="12"/>
    </row>
    <row r="744">
      <c r="O744" s="11"/>
      <c r="P744" s="12"/>
      <c r="Q744" s="12"/>
    </row>
    <row r="745">
      <c r="O745" s="11"/>
      <c r="P745" s="12"/>
      <c r="Q745" s="12"/>
    </row>
    <row r="746">
      <c r="O746" s="11"/>
      <c r="P746" s="12"/>
      <c r="Q746" s="12"/>
    </row>
    <row r="747">
      <c r="O747" s="11"/>
      <c r="P747" s="12"/>
      <c r="Q747" s="12"/>
    </row>
    <row r="748">
      <c r="O748" s="11"/>
      <c r="P748" s="12"/>
      <c r="Q748" s="12"/>
    </row>
    <row r="749">
      <c r="O749" s="11"/>
      <c r="P749" s="12"/>
      <c r="Q749" s="12"/>
    </row>
    <row r="750">
      <c r="O750" s="11"/>
      <c r="P750" s="12"/>
      <c r="Q750" s="12"/>
    </row>
    <row r="751">
      <c r="O751" s="11"/>
      <c r="P751" s="12"/>
      <c r="Q751" s="12"/>
    </row>
    <row r="752">
      <c r="O752" s="11"/>
      <c r="P752" s="12"/>
      <c r="Q752" s="12"/>
    </row>
    <row r="753">
      <c r="O753" s="11"/>
      <c r="P753" s="12"/>
      <c r="Q753" s="12"/>
    </row>
    <row r="754">
      <c r="O754" s="11"/>
      <c r="P754" s="12"/>
      <c r="Q754" s="12"/>
    </row>
    <row r="755">
      <c r="O755" s="11"/>
      <c r="P755" s="12"/>
      <c r="Q755" s="12"/>
    </row>
    <row r="756">
      <c r="O756" s="11"/>
      <c r="P756" s="12"/>
      <c r="Q756" s="12"/>
    </row>
    <row r="757">
      <c r="O757" s="11"/>
      <c r="P757" s="12"/>
      <c r="Q757" s="12"/>
    </row>
    <row r="758">
      <c r="O758" s="11"/>
      <c r="P758" s="12"/>
      <c r="Q758" s="12"/>
    </row>
    <row r="759">
      <c r="O759" s="11"/>
      <c r="P759" s="12"/>
      <c r="Q759" s="12"/>
    </row>
    <row r="760">
      <c r="O760" s="11"/>
      <c r="P760" s="12"/>
      <c r="Q760" s="12"/>
    </row>
    <row r="761">
      <c r="O761" s="11"/>
      <c r="P761" s="12"/>
      <c r="Q761" s="12"/>
    </row>
    <row r="762">
      <c r="O762" s="11"/>
      <c r="P762" s="12"/>
      <c r="Q762" s="12"/>
    </row>
    <row r="763">
      <c r="O763" s="11"/>
      <c r="P763" s="12"/>
      <c r="Q763" s="12"/>
    </row>
    <row r="764">
      <c r="O764" s="11"/>
      <c r="P764" s="12"/>
      <c r="Q764" s="12"/>
    </row>
    <row r="765">
      <c r="O765" s="11"/>
      <c r="P765" s="12"/>
      <c r="Q765" s="12"/>
    </row>
    <row r="766">
      <c r="O766" s="11"/>
      <c r="P766" s="12"/>
      <c r="Q766" s="12"/>
    </row>
    <row r="767">
      <c r="O767" s="11"/>
      <c r="P767" s="12"/>
      <c r="Q767" s="12"/>
    </row>
    <row r="768">
      <c r="O768" s="11"/>
      <c r="P768" s="12"/>
      <c r="Q768" s="12"/>
    </row>
    <row r="769">
      <c r="O769" s="11"/>
      <c r="P769" s="12"/>
      <c r="Q769" s="12"/>
    </row>
    <row r="770">
      <c r="O770" s="11"/>
      <c r="P770" s="12"/>
      <c r="Q770" s="12"/>
    </row>
    <row r="771">
      <c r="O771" s="11"/>
      <c r="P771" s="12"/>
      <c r="Q771" s="12"/>
    </row>
    <row r="772">
      <c r="O772" s="11"/>
      <c r="P772" s="12"/>
      <c r="Q772" s="12"/>
    </row>
    <row r="773">
      <c r="O773" s="11"/>
      <c r="P773" s="12"/>
      <c r="Q773" s="12"/>
    </row>
    <row r="774">
      <c r="O774" s="11"/>
      <c r="P774" s="12"/>
      <c r="Q774" s="12"/>
    </row>
    <row r="775">
      <c r="O775" s="11"/>
      <c r="P775" s="12"/>
      <c r="Q775" s="12"/>
    </row>
    <row r="776">
      <c r="O776" s="11"/>
      <c r="P776" s="12"/>
      <c r="Q776" s="12"/>
    </row>
    <row r="777">
      <c r="O777" s="11"/>
      <c r="P777" s="12"/>
      <c r="Q777" s="12"/>
    </row>
    <row r="778">
      <c r="O778" s="11"/>
      <c r="P778" s="12"/>
      <c r="Q778" s="12"/>
    </row>
    <row r="779">
      <c r="O779" s="11"/>
      <c r="P779" s="12"/>
      <c r="Q779" s="12"/>
    </row>
    <row r="780">
      <c r="O780" s="11"/>
      <c r="P780" s="12"/>
      <c r="Q780" s="12"/>
    </row>
    <row r="781">
      <c r="O781" s="11"/>
      <c r="P781" s="12"/>
      <c r="Q781" s="12"/>
    </row>
    <row r="782">
      <c r="O782" s="11"/>
      <c r="P782" s="12"/>
      <c r="Q782" s="12"/>
    </row>
    <row r="783">
      <c r="O783" s="11"/>
      <c r="P783" s="12"/>
      <c r="Q783" s="12"/>
    </row>
    <row r="784">
      <c r="O784" s="11"/>
      <c r="P784" s="12"/>
      <c r="Q784" s="12"/>
    </row>
    <row r="785">
      <c r="O785" s="11"/>
      <c r="P785" s="12"/>
      <c r="Q785" s="12"/>
    </row>
    <row r="786">
      <c r="O786" s="11"/>
      <c r="P786" s="12"/>
      <c r="Q786" s="12"/>
    </row>
    <row r="787">
      <c r="O787" s="11"/>
      <c r="P787" s="12"/>
      <c r="Q787" s="12"/>
    </row>
    <row r="788">
      <c r="O788" s="11"/>
      <c r="P788" s="12"/>
      <c r="Q788" s="12"/>
    </row>
    <row r="789">
      <c r="O789" s="11"/>
      <c r="P789" s="12"/>
      <c r="Q789" s="12"/>
    </row>
    <row r="790">
      <c r="O790" s="11"/>
      <c r="P790" s="12"/>
      <c r="Q790" s="12"/>
    </row>
    <row r="791">
      <c r="O791" s="11"/>
      <c r="P791" s="12"/>
      <c r="Q791" s="12"/>
    </row>
    <row r="792">
      <c r="O792" s="11"/>
      <c r="P792" s="12"/>
      <c r="Q792" s="12"/>
    </row>
    <row r="793">
      <c r="O793" s="11"/>
      <c r="P793" s="12"/>
      <c r="Q793" s="12"/>
    </row>
    <row r="794">
      <c r="O794" s="11"/>
      <c r="P794" s="12"/>
      <c r="Q794" s="12"/>
    </row>
    <row r="795">
      <c r="O795" s="11"/>
      <c r="P795" s="12"/>
      <c r="Q795" s="12"/>
    </row>
    <row r="796">
      <c r="O796" s="11"/>
      <c r="P796" s="12"/>
      <c r="Q796" s="12"/>
    </row>
    <row r="797">
      <c r="O797" s="11"/>
      <c r="P797" s="12"/>
      <c r="Q797" s="12"/>
    </row>
    <row r="798">
      <c r="O798" s="11"/>
      <c r="P798" s="12"/>
      <c r="Q798" s="12"/>
    </row>
    <row r="799">
      <c r="O799" s="11"/>
      <c r="P799" s="12"/>
      <c r="Q799" s="12"/>
    </row>
    <row r="800">
      <c r="O800" s="11"/>
      <c r="P800" s="12"/>
      <c r="Q800" s="12"/>
    </row>
    <row r="801">
      <c r="O801" s="11"/>
      <c r="P801" s="12"/>
      <c r="Q801" s="12"/>
    </row>
    <row r="802">
      <c r="O802" s="11"/>
      <c r="P802" s="12"/>
      <c r="Q802" s="12"/>
    </row>
    <row r="803">
      <c r="O803" s="11"/>
      <c r="P803" s="12"/>
      <c r="Q803" s="12"/>
    </row>
    <row r="804">
      <c r="O804" s="11"/>
      <c r="P804" s="12"/>
      <c r="Q804" s="12"/>
    </row>
    <row r="805">
      <c r="O805" s="11"/>
      <c r="P805" s="12"/>
      <c r="Q805" s="12"/>
    </row>
    <row r="806">
      <c r="O806" s="11"/>
      <c r="P806" s="12"/>
      <c r="Q806" s="12"/>
    </row>
    <row r="807">
      <c r="O807" s="11"/>
      <c r="P807" s="12"/>
      <c r="Q807" s="12"/>
    </row>
    <row r="808">
      <c r="O808" s="11"/>
      <c r="P808" s="12"/>
      <c r="Q808" s="12"/>
    </row>
    <row r="809">
      <c r="O809" s="11"/>
      <c r="P809" s="12"/>
      <c r="Q809" s="12"/>
    </row>
    <row r="810">
      <c r="O810" s="11"/>
      <c r="P810" s="12"/>
      <c r="Q810" s="12"/>
    </row>
    <row r="811">
      <c r="O811" s="11"/>
      <c r="P811" s="12"/>
      <c r="Q811" s="12"/>
    </row>
    <row r="812">
      <c r="O812" s="11"/>
      <c r="P812" s="12"/>
      <c r="Q812" s="12"/>
    </row>
    <row r="813">
      <c r="O813" s="11"/>
      <c r="P813" s="12"/>
      <c r="Q813" s="12"/>
    </row>
    <row r="814">
      <c r="O814" s="11"/>
      <c r="P814" s="12"/>
      <c r="Q814" s="12"/>
    </row>
    <row r="815">
      <c r="O815" s="11"/>
      <c r="P815" s="12"/>
      <c r="Q815" s="12"/>
    </row>
    <row r="816">
      <c r="O816" s="11"/>
      <c r="P816" s="12"/>
      <c r="Q816" s="12"/>
    </row>
    <row r="817">
      <c r="O817" s="11"/>
      <c r="P817" s="12"/>
      <c r="Q817" s="12"/>
    </row>
    <row r="818">
      <c r="O818" s="11"/>
      <c r="P818" s="12"/>
      <c r="Q818" s="12"/>
    </row>
    <row r="819">
      <c r="O819" s="11"/>
      <c r="P819" s="12"/>
      <c r="Q819" s="12"/>
    </row>
    <row r="820">
      <c r="O820" s="11"/>
      <c r="P820" s="12"/>
      <c r="Q820" s="12"/>
    </row>
    <row r="821">
      <c r="O821" s="11"/>
      <c r="P821" s="12"/>
      <c r="Q821" s="12"/>
    </row>
    <row r="822">
      <c r="O822" s="11"/>
      <c r="P822" s="12"/>
      <c r="Q822" s="12"/>
    </row>
    <row r="823">
      <c r="O823" s="11"/>
      <c r="P823" s="12"/>
      <c r="Q823" s="12"/>
    </row>
    <row r="824">
      <c r="O824" s="11"/>
      <c r="P824" s="12"/>
      <c r="Q824" s="12"/>
    </row>
    <row r="825">
      <c r="O825" s="11"/>
      <c r="P825" s="12"/>
      <c r="Q825" s="12"/>
    </row>
    <row r="826">
      <c r="O826" s="11"/>
      <c r="P826" s="12"/>
      <c r="Q826" s="12"/>
    </row>
    <row r="827">
      <c r="O827" s="11"/>
      <c r="P827" s="12"/>
      <c r="Q827" s="12"/>
    </row>
    <row r="828">
      <c r="O828" s="11"/>
      <c r="P828" s="12"/>
      <c r="Q828" s="12"/>
    </row>
    <row r="829">
      <c r="O829" s="11"/>
      <c r="P829" s="12"/>
      <c r="Q829" s="12"/>
    </row>
    <row r="830">
      <c r="O830" s="11"/>
      <c r="P830" s="12"/>
      <c r="Q830" s="12"/>
    </row>
    <row r="831">
      <c r="O831" s="11"/>
      <c r="P831" s="12"/>
      <c r="Q831" s="12"/>
    </row>
    <row r="832">
      <c r="O832" s="11"/>
      <c r="P832" s="12"/>
      <c r="Q832" s="12"/>
    </row>
    <row r="833">
      <c r="O833" s="11"/>
      <c r="P833" s="12"/>
      <c r="Q833" s="12"/>
    </row>
    <row r="834">
      <c r="O834" s="11"/>
      <c r="P834" s="12"/>
      <c r="Q834" s="12"/>
    </row>
    <row r="835">
      <c r="O835" s="11"/>
      <c r="P835" s="12"/>
      <c r="Q835" s="12"/>
    </row>
    <row r="836">
      <c r="O836" s="11"/>
      <c r="P836" s="12"/>
      <c r="Q836" s="12"/>
    </row>
    <row r="837">
      <c r="O837" s="11"/>
      <c r="P837" s="12"/>
      <c r="Q837" s="12"/>
    </row>
    <row r="838">
      <c r="O838" s="11"/>
      <c r="P838" s="12"/>
      <c r="Q838" s="12"/>
    </row>
    <row r="839">
      <c r="O839" s="11"/>
      <c r="P839" s="12"/>
      <c r="Q839" s="12"/>
    </row>
    <row r="840">
      <c r="O840" s="11"/>
      <c r="P840" s="12"/>
      <c r="Q840" s="12"/>
    </row>
    <row r="841">
      <c r="O841" s="11"/>
      <c r="P841" s="12"/>
      <c r="Q841" s="12"/>
    </row>
    <row r="842">
      <c r="O842" s="11"/>
      <c r="P842" s="12"/>
      <c r="Q842" s="12"/>
    </row>
    <row r="843">
      <c r="O843" s="11"/>
      <c r="P843" s="12"/>
      <c r="Q843" s="12"/>
    </row>
    <row r="844">
      <c r="O844" s="11"/>
      <c r="P844" s="12"/>
      <c r="Q844" s="12"/>
    </row>
    <row r="845">
      <c r="O845" s="11"/>
      <c r="P845" s="12"/>
      <c r="Q845" s="12"/>
    </row>
    <row r="846">
      <c r="O846" s="11"/>
      <c r="P846" s="12"/>
      <c r="Q846" s="12"/>
    </row>
    <row r="847">
      <c r="O847" s="11"/>
      <c r="P847" s="12"/>
      <c r="Q847" s="12"/>
    </row>
    <row r="848">
      <c r="O848" s="11"/>
      <c r="P848" s="12"/>
      <c r="Q848" s="12"/>
    </row>
    <row r="849">
      <c r="O849" s="11"/>
      <c r="P849" s="12"/>
      <c r="Q849" s="12"/>
    </row>
    <row r="850">
      <c r="O850" s="11"/>
      <c r="P850" s="12"/>
      <c r="Q850" s="12"/>
    </row>
    <row r="851">
      <c r="O851" s="11"/>
      <c r="P851" s="12"/>
      <c r="Q851" s="12"/>
    </row>
    <row r="852">
      <c r="O852" s="11"/>
      <c r="P852" s="12"/>
      <c r="Q852" s="12"/>
    </row>
    <row r="853">
      <c r="O853" s="11"/>
      <c r="P853" s="12"/>
      <c r="Q853" s="12"/>
    </row>
    <row r="854">
      <c r="O854" s="11"/>
      <c r="P854" s="12"/>
      <c r="Q854" s="12"/>
    </row>
    <row r="855">
      <c r="O855" s="11"/>
      <c r="P855" s="12"/>
      <c r="Q855" s="12"/>
    </row>
    <row r="856">
      <c r="O856" s="11"/>
      <c r="P856" s="12"/>
      <c r="Q856" s="12"/>
    </row>
    <row r="857">
      <c r="O857" s="11"/>
      <c r="P857" s="12"/>
      <c r="Q857" s="12"/>
    </row>
    <row r="858">
      <c r="O858" s="11"/>
      <c r="P858" s="12"/>
      <c r="Q858" s="12"/>
    </row>
    <row r="859">
      <c r="O859" s="11"/>
      <c r="P859" s="12"/>
      <c r="Q859" s="12"/>
    </row>
    <row r="860">
      <c r="O860" s="11"/>
      <c r="P860" s="12"/>
      <c r="Q860" s="12"/>
    </row>
    <row r="861">
      <c r="O861" s="11"/>
      <c r="P861" s="12"/>
      <c r="Q861" s="12"/>
    </row>
    <row r="862">
      <c r="O862" s="11"/>
      <c r="P862" s="12"/>
      <c r="Q862" s="12"/>
    </row>
    <row r="863">
      <c r="O863" s="11"/>
      <c r="P863" s="12"/>
      <c r="Q863" s="12"/>
    </row>
    <row r="864">
      <c r="O864" s="11"/>
      <c r="P864" s="12"/>
      <c r="Q864" s="12"/>
    </row>
    <row r="865">
      <c r="O865" s="11"/>
      <c r="P865" s="12"/>
      <c r="Q865" s="12"/>
    </row>
    <row r="866">
      <c r="O866" s="11"/>
      <c r="P866" s="12"/>
      <c r="Q866" s="12"/>
    </row>
    <row r="867">
      <c r="O867" s="11"/>
      <c r="P867" s="12"/>
      <c r="Q867" s="12"/>
    </row>
    <row r="868">
      <c r="O868" s="11"/>
      <c r="P868" s="12"/>
      <c r="Q868" s="12"/>
    </row>
    <row r="869">
      <c r="O869" s="11"/>
      <c r="P869" s="12"/>
      <c r="Q869" s="12"/>
    </row>
    <row r="870">
      <c r="O870" s="11"/>
      <c r="P870" s="12"/>
      <c r="Q870" s="12"/>
    </row>
    <row r="871">
      <c r="O871" s="11"/>
      <c r="P871" s="12"/>
      <c r="Q871" s="12"/>
    </row>
    <row r="872">
      <c r="O872" s="11"/>
      <c r="P872" s="12"/>
      <c r="Q872" s="12"/>
    </row>
    <row r="873">
      <c r="O873" s="11"/>
      <c r="P873" s="12"/>
      <c r="Q873" s="12"/>
    </row>
    <row r="874">
      <c r="O874" s="11"/>
      <c r="P874" s="12"/>
      <c r="Q874" s="12"/>
    </row>
    <row r="875">
      <c r="O875" s="11"/>
      <c r="P875" s="12"/>
      <c r="Q875" s="12"/>
    </row>
    <row r="876">
      <c r="O876" s="11"/>
      <c r="P876" s="12"/>
      <c r="Q876" s="12"/>
    </row>
    <row r="877">
      <c r="O877" s="11"/>
      <c r="P877" s="12"/>
      <c r="Q877" s="12"/>
    </row>
    <row r="878">
      <c r="O878" s="11"/>
      <c r="P878" s="12"/>
      <c r="Q878" s="12"/>
    </row>
    <row r="879">
      <c r="O879" s="11"/>
      <c r="P879" s="12"/>
      <c r="Q879" s="12"/>
    </row>
    <row r="880">
      <c r="O880" s="11"/>
      <c r="P880" s="12"/>
      <c r="Q880" s="12"/>
    </row>
    <row r="881">
      <c r="O881" s="11"/>
      <c r="P881" s="12"/>
      <c r="Q881" s="12"/>
    </row>
    <row r="882">
      <c r="O882" s="11"/>
      <c r="P882" s="12"/>
      <c r="Q882" s="12"/>
    </row>
    <row r="883">
      <c r="O883" s="11"/>
      <c r="P883" s="12"/>
      <c r="Q883" s="12"/>
    </row>
    <row r="884">
      <c r="O884" s="11"/>
      <c r="P884" s="12"/>
      <c r="Q884" s="12"/>
    </row>
    <row r="885">
      <c r="O885" s="11"/>
      <c r="P885" s="12"/>
      <c r="Q885" s="12"/>
    </row>
    <row r="886">
      <c r="O886" s="11"/>
      <c r="P886" s="12"/>
      <c r="Q886" s="12"/>
    </row>
    <row r="887">
      <c r="O887" s="11"/>
      <c r="P887" s="12"/>
      <c r="Q887" s="12"/>
    </row>
    <row r="888">
      <c r="O888" s="11"/>
      <c r="P888" s="12"/>
      <c r="Q888" s="12"/>
    </row>
    <row r="889">
      <c r="O889" s="11"/>
      <c r="P889" s="12"/>
      <c r="Q889" s="12"/>
    </row>
    <row r="890">
      <c r="O890" s="11"/>
      <c r="P890" s="12"/>
      <c r="Q890" s="12"/>
    </row>
    <row r="891">
      <c r="O891" s="11"/>
      <c r="P891" s="12"/>
      <c r="Q891" s="12"/>
    </row>
    <row r="892">
      <c r="O892" s="11"/>
      <c r="P892" s="12"/>
      <c r="Q892" s="12"/>
    </row>
    <row r="893">
      <c r="O893" s="11"/>
      <c r="P893" s="12"/>
      <c r="Q893" s="12"/>
    </row>
    <row r="894">
      <c r="O894" s="11"/>
      <c r="P894" s="12"/>
      <c r="Q894" s="12"/>
    </row>
    <row r="895">
      <c r="O895" s="11"/>
      <c r="P895" s="12"/>
      <c r="Q895" s="12"/>
    </row>
    <row r="896">
      <c r="O896" s="11"/>
      <c r="P896" s="12"/>
      <c r="Q896" s="12"/>
    </row>
    <row r="897">
      <c r="O897" s="11"/>
      <c r="P897" s="12"/>
      <c r="Q897" s="12"/>
    </row>
    <row r="898">
      <c r="O898" s="11"/>
      <c r="P898" s="12"/>
      <c r="Q898" s="12"/>
    </row>
    <row r="899">
      <c r="O899" s="11"/>
      <c r="P899" s="12"/>
      <c r="Q899" s="12"/>
    </row>
    <row r="900">
      <c r="O900" s="11"/>
      <c r="P900" s="12"/>
      <c r="Q900" s="12"/>
    </row>
    <row r="901">
      <c r="O901" s="11"/>
      <c r="P901" s="12"/>
      <c r="Q901" s="12"/>
    </row>
    <row r="902">
      <c r="O902" s="11"/>
      <c r="P902" s="12"/>
      <c r="Q902" s="12"/>
    </row>
    <row r="903">
      <c r="O903" s="11"/>
      <c r="P903" s="12"/>
      <c r="Q903" s="12"/>
    </row>
    <row r="904">
      <c r="O904" s="11"/>
      <c r="P904" s="12"/>
      <c r="Q904" s="12"/>
    </row>
    <row r="905">
      <c r="O905" s="11"/>
      <c r="P905" s="12"/>
      <c r="Q905" s="12"/>
    </row>
    <row r="906">
      <c r="O906" s="11"/>
      <c r="P906" s="12"/>
      <c r="Q906" s="12"/>
    </row>
    <row r="907">
      <c r="O907" s="11"/>
      <c r="P907" s="12"/>
      <c r="Q907" s="12"/>
    </row>
    <row r="908">
      <c r="O908" s="11"/>
      <c r="P908" s="12"/>
      <c r="Q908" s="12"/>
    </row>
    <row r="909">
      <c r="O909" s="11"/>
      <c r="P909" s="12"/>
      <c r="Q909" s="12"/>
    </row>
    <row r="910">
      <c r="O910" s="11"/>
      <c r="P910" s="12"/>
      <c r="Q910" s="12"/>
    </row>
    <row r="911">
      <c r="O911" s="11"/>
      <c r="P911" s="12"/>
      <c r="Q911" s="12"/>
    </row>
    <row r="912">
      <c r="O912" s="11"/>
      <c r="P912" s="12"/>
      <c r="Q912" s="12"/>
    </row>
    <row r="913">
      <c r="O913" s="11"/>
      <c r="P913" s="12"/>
      <c r="Q913" s="12"/>
    </row>
    <row r="914">
      <c r="O914" s="11"/>
      <c r="P914" s="12"/>
      <c r="Q914" s="12"/>
    </row>
    <row r="915">
      <c r="O915" s="11"/>
      <c r="P915" s="12"/>
      <c r="Q915" s="12"/>
    </row>
    <row r="916">
      <c r="O916" s="11"/>
      <c r="P916" s="12"/>
      <c r="Q916" s="12"/>
    </row>
    <row r="917">
      <c r="O917" s="11"/>
      <c r="P917" s="12"/>
      <c r="Q917" s="12"/>
    </row>
    <row r="918">
      <c r="O918" s="11"/>
      <c r="P918" s="12"/>
      <c r="Q918" s="12"/>
    </row>
    <row r="919">
      <c r="O919" s="11"/>
      <c r="P919" s="12"/>
      <c r="Q919" s="12"/>
    </row>
    <row r="920">
      <c r="O920" s="11"/>
      <c r="P920" s="12"/>
      <c r="Q920" s="12"/>
    </row>
    <row r="921">
      <c r="O921" s="11"/>
      <c r="P921" s="12"/>
      <c r="Q921" s="12"/>
    </row>
    <row r="922">
      <c r="O922" s="11"/>
      <c r="P922" s="12"/>
      <c r="Q922" s="12"/>
    </row>
    <row r="923">
      <c r="O923" s="11"/>
      <c r="P923" s="12"/>
      <c r="Q923" s="12"/>
    </row>
    <row r="924">
      <c r="O924" s="11"/>
      <c r="P924" s="12"/>
      <c r="Q924" s="12"/>
    </row>
    <row r="925">
      <c r="O925" s="11"/>
      <c r="P925" s="12"/>
      <c r="Q925" s="12"/>
    </row>
    <row r="926">
      <c r="O926" s="11"/>
      <c r="P926" s="12"/>
      <c r="Q926" s="12"/>
    </row>
    <row r="927">
      <c r="O927" s="11"/>
      <c r="P927" s="12"/>
      <c r="Q927" s="12"/>
    </row>
    <row r="928">
      <c r="O928" s="11"/>
      <c r="P928" s="12"/>
      <c r="Q928" s="12"/>
    </row>
    <row r="929">
      <c r="O929" s="11"/>
      <c r="P929" s="12"/>
      <c r="Q929" s="12"/>
    </row>
    <row r="930">
      <c r="O930" s="11"/>
      <c r="P930" s="12"/>
      <c r="Q930" s="12"/>
    </row>
    <row r="931">
      <c r="O931" s="11"/>
      <c r="P931" s="12"/>
      <c r="Q931" s="12"/>
    </row>
    <row r="932">
      <c r="O932" s="11"/>
      <c r="P932" s="12"/>
      <c r="Q932" s="12"/>
    </row>
    <row r="933">
      <c r="O933" s="11"/>
      <c r="P933" s="12"/>
      <c r="Q933" s="12"/>
    </row>
    <row r="934">
      <c r="O934" s="11"/>
      <c r="P934" s="12"/>
      <c r="Q934" s="12"/>
    </row>
    <row r="935">
      <c r="O935" s="11"/>
      <c r="P935" s="12"/>
      <c r="Q935" s="12"/>
    </row>
    <row r="936">
      <c r="O936" s="11"/>
      <c r="P936" s="12"/>
      <c r="Q936" s="12"/>
    </row>
    <row r="937">
      <c r="O937" s="11"/>
      <c r="P937" s="12"/>
      <c r="Q937" s="12"/>
    </row>
    <row r="938">
      <c r="O938" s="11"/>
      <c r="P938" s="12"/>
      <c r="Q938" s="12"/>
    </row>
    <row r="939">
      <c r="O939" s="11"/>
      <c r="P939" s="12"/>
      <c r="Q939" s="12"/>
    </row>
    <row r="940">
      <c r="O940" s="11"/>
      <c r="P940" s="12"/>
      <c r="Q940" s="12"/>
    </row>
    <row r="941">
      <c r="O941" s="11"/>
      <c r="P941" s="12"/>
      <c r="Q941" s="12"/>
    </row>
    <row r="942">
      <c r="O942" s="11"/>
      <c r="P942" s="12"/>
      <c r="Q942" s="12"/>
    </row>
    <row r="943">
      <c r="O943" s="11"/>
      <c r="P943" s="12"/>
      <c r="Q943" s="12"/>
    </row>
    <row r="944">
      <c r="O944" s="11"/>
      <c r="P944" s="12"/>
      <c r="Q944" s="12"/>
    </row>
    <row r="945">
      <c r="O945" s="11"/>
      <c r="P945" s="12"/>
      <c r="Q945" s="12"/>
    </row>
    <row r="946">
      <c r="O946" s="11"/>
      <c r="P946" s="12"/>
      <c r="Q946" s="12"/>
    </row>
    <row r="947">
      <c r="O947" s="11"/>
      <c r="P947" s="12"/>
      <c r="Q947" s="12"/>
    </row>
    <row r="948">
      <c r="O948" s="11"/>
      <c r="P948" s="12"/>
      <c r="Q948" s="12"/>
    </row>
    <row r="949">
      <c r="O949" s="11"/>
      <c r="P949" s="12"/>
      <c r="Q949" s="12"/>
    </row>
    <row r="950">
      <c r="O950" s="11"/>
      <c r="P950" s="12"/>
      <c r="Q950" s="12"/>
    </row>
    <row r="951">
      <c r="O951" s="11"/>
      <c r="P951" s="12"/>
      <c r="Q951" s="12"/>
    </row>
    <row r="952">
      <c r="O952" s="11"/>
      <c r="P952" s="12"/>
      <c r="Q952" s="12"/>
    </row>
    <row r="953">
      <c r="O953" s="11"/>
      <c r="P953" s="12"/>
      <c r="Q953" s="12"/>
    </row>
    <row r="954">
      <c r="O954" s="11"/>
      <c r="P954" s="12"/>
      <c r="Q954" s="12"/>
    </row>
    <row r="955">
      <c r="O955" s="11"/>
      <c r="P955" s="12"/>
      <c r="Q955" s="12"/>
    </row>
    <row r="956">
      <c r="O956" s="11"/>
      <c r="P956" s="12"/>
      <c r="Q956" s="12"/>
    </row>
    <row r="957">
      <c r="O957" s="11"/>
      <c r="P957" s="12"/>
      <c r="Q957" s="12"/>
    </row>
    <row r="958">
      <c r="O958" s="11"/>
      <c r="P958" s="12"/>
      <c r="Q958" s="12"/>
    </row>
    <row r="959">
      <c r="O959" s="11"/>
      <c r="P959" s="12"/>
      <c r="Q959" s="12"/>
    </row>
    <row r="960">
      <c r="O960" s="11"/>
      <c r="P960" s="12"/>
      <c r="Q960" s="12"/>
    </row>
    <row r="961">
      <c r="O961" s="11"/>
      <c r="P961" s="12"/>
      <c r="Q961" s="12"/>
    </row>
    <row r="962">
      <c r="O962" s="11"/>
      <c r="P962" s="12"/>
      <c r="Q962" s="12"/>
    </row>
    <row r="963">
      <c r="O963" s="11"/>
      <c r="P963" s="12"/>
      <c r="Q963" s="12"/>
    </row>
    <row r="964">
      <c r="O964" s="11"/>
      <c r="P964" s="12"/>
      <c r="Q964" s="12"/>
    </row>
    <row r="965">
      <c r="O965" s="11"/>
      <c r="P965" s="12"/>
      <c r="Q965" s="12"/>
    </row>
    <row r="966">
      <c r="O966" s="11"/>
      <c r="P966" s="12"/>
      <c r="Q966" s="12"/>
    </row>
    <row r="967">
      <c r="O967" s="11"/>
      <c r="P967" s="12"/>
      <c r="Q967" s="12"/>
    </row>
    <row r="968">
      <c r="O968" s="11"/>
      <c r="P968" s="12"/>
      <c r="Q968" s="12"/>
    </row>
    <row r="969">
      <c r="O969" s="11"/>
      <c r="P969" s="12"/>
      <c r="Q969" s="12"/>
    </row>
    <row r="970">
      <c r="O970" s="11"/>
      <c r="P970" s="12"/>
      <c r="Q970" s="12"/>
    </row>
    <row r="971">
      <c r="O971" s="11"/>
      <c r="P971" s="12"/>
      <c r="Q971" s="12"/>
    </row>
    <row r="972">
      <c r="O972" s="11"/>
      <c r="P972" s="12"/>
      <c r="Q972" s="12"/>
    </row>
    <row r="973">
      <c r="O973" s="11"/>
      <c r="P973" s="12"/>
      <c r="Q973" s="12"/>
    </row>
    <row r="974">
      <c r="O974" s="11"/>
      <c r="P974" s="12"/>
      <c r="Q974" s="12"/>
    </row>
    <row r="975">
      <c r="O975" s="11"/>
      <c r="P975" s="12"/>
      <c r="Q975" s="12"/>
    </row>
    <row r="976">
      <c r="O976" s="11"/>
      <c r="P976" s="12"/>
      <c r="Q976" s="12"/>
    </row>
    <row r="977">
      <c r="O977" s="11"/>
      <c r="P977" s="12"/>
      <c r="Q977" s="12"/>
    </row>
    <row r="978">
      <c r="O978" s="11"/>
      <c r="P978" s="12"/>
      <c r="Q978" s="12"/>
    </row>
    <row r="979">
      <c r="O979" s="11"/>
      <c r="P979" s="12"/>
      <c r="Q979" s="12"/>
    </row>
    <row r="980">
      <c r="O980" s="11"/>
      <c r="P980" s="12"/>
      <c r="Q980" s="12"/>
    </row>
    <row r="981">
      <c r="O981" s="11"/>
      <c r="P981" s="12"/>
      <c r="Q981" s="12"/>
    </row>
    <row r="982">
      <c r="O982" s="11"/>
      <c r="P982" s="12"/>
      <c r="Q982" s="12"/>
    </row>
    <row r="983">
      <c r="O983" s="11"/>
      <c r="P983" s="12"/>
      <c r="Q983" s="12"/>
    </row>
    <row r="984">
      <c r="O984" s="11"/>
      <c r="P984" s="12"/>
      <c r="Q984" s="12"/>
    </row>
    <row r="985">
      <c r="O985" s="11"/>
      <c r="P985" s="12"/>
      <c r="Q985" s="12"/>
    </row>
    <row r="986">
      <c r="O986" s="11"/>
      <c r="P986" s="12"/>
      <c r="Q986" s="12"/>
    </row>
    <row r="987">
      <c r="O987" s="11"/>
      <c r="P987" s="12"/>
      <c r="Q987" s="12"/>
    </row>
    <row r="988">
      <c r="O988" s="11"/>
      <c r="P988" s="12"/>
      <c r="Q988" s="12"/>
    </row>
    <row r="989">
      <c r="O989" s="11"/>
      <c r="P989" s="12"/>
      <c r="Q989" s="12"/>
    </row>
    <row r="990">
      <c r="O990" s="11"/>
      <c r="P990" s="12"/>
      <c r="Q990" s="12"/>
    </row>
    <row r="991">
      <c r="O991" s="11"/>
      <c r="P991" s="12"/>
      <c r="Q991" s="12"/>
    </row>
    <row r="992">
      <c r="O992" s="11"/>
      <c r="P992" s="12"/>
      <c r="Q992" s="12"/>
    </row>
    <row r="993">
      <c r="O993" s="11"/>
      <c r="P993" s="12"/>
      <c r="Q993" s="12"/>
    </row>
    <row r="994">
      <c r="O994" s="11"/>
      <c r="P994" s="12"/>
      <c r="Q994" s="12"/>
    </row>
    <row r="995">
      <c r="O995" s="11"/>
      <c r="P995" s="12"/>
      <c r="Q995" s="12"/>
    </row>
    <row r="996">
      <c r="O996" s="11"/>
      <c r="P996" s="12"/>
      <c r="Q996" s="12"/>
    </row>
    <row r="997">
      <c r="O997" s="11"/>
      <c r="P997" s="12"/>
      <c r="Q997" s="12"/>
    </row>
    <row r="998">
      <c r="O998" s="11"/>
      <c r="P998" s="12"/>
      <c r="Q998" s="12"/>
    </row>
    <row r="999">
      <c r="O999" s="11"/>
      <c r="P999" s="12"/>
      <c r="Q999" s="12"/>
    </row>
  </sheetData>
  <mergeCells count="9">
    <mergeCell ref="R11:S11"/>
    <mergeCell ref="B21:N21"/>
    <mergeCell ref="C2:E2"/>
    <mergeCell ref="F2:H2"/>
    <mergeCell ref="I2:K2"/>
    <mergeCell ref="L2:N2"/>
    <mergeCell ref="R2:S2"/>
    <mergeCell ref="R5:S5"/>
    <mergeCell ref="R8:S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13"/>
  </cols>
  <sheetData>
    <row r="1" ht="11.25" customHeight="1"/>
    <row r="2">
      <c r="B2" s="32" t="s">
        <v>100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>
      <c r="B3" s="16" t="s">
        <v>44</v>
      </c>
      <c r="C3" s="6" t="s">
        <v>45</v>
      </c>
      <c r="D3" s="7"/>
      <c r="E3" s="8"/>
      <c r="F3" s="6" t="s">
        <v>46</v>
      </c>
      <c r="G3" s="7"/>
      <c r="H3" s="8"/>
      <c r="I3" s="6" t="s">
        <v>47</v>
      </c>
      <c r="J3" s="7"/>
      <c r="K3" s="8"/>
      <c r="L3" s="6" t="s">
        <v>48</v>
      </c>
      <c r="M3" s="7"/>
      <c r="N3" s="8"/>
    </row>
    <row r="4">
      <c r="B4" s="16" t="s">
        <v>49</v>
      </c>
      <c r="C4" s="10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10" t="s">
        <v>55</v>
      </c>
      <c r="I4" s="10" t="s">
        <v>56</v>
      </c>
      <c r="J4" s="10" t="s">
        <v>57</v>
      </c>
      <c r="K4" s="10" t="s">
        <v>58</v>
      </c>
      <c r="L4" s="10" t="s">
        <v>59</v>
      </c>
      <c r="M4" s="10" t="s">
        <v>60</v>
      </c>
      <c r="N4" s="10" t="s">
        <v>61</v>
      </c>
    </row>
    <row r="5">
      <c r="B5" s="9" t="s">
        <v>101</v>
      </c>
      <c r="C5" s="31">
        <f t="shared" ref="C5:N5" si="1">count(C20:C22)+count(C28:C37)</f>
        <v>12</v>
      </c>
      <c r="D5" s="31">
        <f t="shared" si="1"/>
        <v>12</v>
      </c>
      <c r="E5" s="31">
        <f t="shared" si="1"/>
        <v>12</v>
      </c>
      <c r="F5" s="31">
        <f t="shared" si="1"/>
        <v>12</v>
      </c>
      <c r="G5" s="31">
        <f t="shared" si="1"/>
        <v>12</v>
      </c>
      <c r="H5" s="31">
        <f t="shared" si="1"/>
        <v>13</v>
      </c>
      <c r="I5" s="31">
        <f t="shared" si="1"/>
        <v>13</v>
      </c>
      <c r="J5" s="31">
        <f t="shared" si="1"/>
        <v>13</v>
      </c>
      <c r="K5" s="31">
        <f t="shared" si="1"/>
        <v>13</v>
      </c>
      <c r="L5" s="31">
        <f t="shared" si="1"/>
        <v>13</v>
      </c>
      <c r="M5" s="31">
        <f t="shared" si="1"/>
        <v>13</v>
      </c>
      <c r="N5" s="31">
        <f t="shared" si="1"/>
        <v>13</v>
      </c>
    </row>
    <row r="6">
      <c r="B6" s="9" t="s">
        <v>102</v>
      </c>
      <c r="C6" s="20">
        <f t="shared" ref="C6:N6" si="2">SUM(C7:C14)</f>
        <v>402130</v>
      </c>
      <c r="D6" s="20">
        <f t="shared" si="2"/>
        <v>280477</v>
      </c>
      <c r="E6" s="20">
        <f t="shared" si="2"/>
        <v>279518</v>
      </c>
      <c r="F6" s="20">
        <f t="shared" si="2"/>
        <v>285633</v>
      </c>
      <c r="G6" s="20">
        <f t="shared" si="2"/>
        <v>288429</v>
      </c>
      <c r="H6" s="20">
        <f t="shared" si="2"/>
        <v>293174</v>
      </c>
      <c r="I6" s="20">
        <f t="shared" si="2"/>
        <v>433887</v>
      </c>
      <c r="J6" s="20">
        <f t="shared" si="2"/>
        <v>305132</v>
      </c>
      <c r="K6" s="20">
        <f t="shared" si="2"/>
        <v>306928</v>
      </c>
      <c r="L6" s="20">
        <f t="shared" si="2"/>
        <v>314192</v>
      </c>
      <c r="M6" s="20">
        <f t="shared" si="2"/>
        <v>315539</v>
      </c>
      <c r="N6" s="20">
        <f t="shared" si="2"/>
        <v>346886</v>
      </c>
    </row>
    <row r="7">
      <c r="B7" s="16" t="s">
        <v>103</v>
      </c>
      <c r="C7" s="23">
        <f t="shared" ref="C7:N7" si="3">C19</f>
        <v>80000</v>
      </c>
      <c r="D7" s="23">
        <f t="shared" si="3"/>
        <v>80000</v>
      </c>
      <c r="E7" s="23">
        <f t="shared" si="3"/>
        <v>80000</v>
      </c>
      <c r="F7" s="23">
        <f t="shared" si="3"/>
        <v>80000</v>
      </c>
      <c r="G7" s="23">
        <f t="shared" si="3"/>
        <v>80000</v>
      </c>
      <c r="H7" s="23">
        <f t="shared" si="3"/>
        <v>80000</v>
      </c>
      <c r="I7" s="23">
        <f t="shared" si="3"/>
        <v>80000</v>
      </c>
      <c r="J7" s="23">
        <f t="shared" si="3"/>
        <v>80000</v>
      </c>
      <c r="K7" s="23">
        <f t="shared" si="3"/>
        <v>80000</v>
      </c>
      <c r="L7" s="23">
        <f t="shared" si="3"/>
        <v>80000</v>
      </c>
      <c r="M7" s="23">
        <f t="shared" si="3"/>
        <v>80000</v>
      </c>
      <c r="N7" s="23">
        <f t="shared" si="3"/>
        <v>80000</v>
      </c>
    </row>
    <row r="8">
      <c r="B8" s="16" t="s">
        <v>104</v>
      </c>
      <c r="C8" s="23">
        <f t="shared" ref="C8:N8" si="4">C27</f>
        <v>49500</v>
      </c>
      <c r="D8" s="23">
        <f t="shared" si="4"/>
        <v>49500</v>
      </c>
      <c r="E8" s="23">
        <f t="shared" si="4"/>
        <v>49500</v>
      </c>
      <c r="F8" s="23">
        <f t="shared" si="4"/>
        <v>51000</v>
      </c>
      <c r="G8" s="23">
        <f t="shared" si="4"/>
        <v>52000</v>
      </c>
      <c r="H8" s="23">
        <f t="shared" si="4"/>
        <v>54500</v>
      </c>
      <c r="I8" s="23">
        <f t="shared" si="4"/>
        <v>57500</v>
      </c>
      <c r="J8" s="23">
        <f t="shared" si="4"/>
        <v>57500</v>
      </c>
      <c r="K8" s="23">
        <f t="shared" si="4"/>
        <v>57500</v>
      </c>
      <c r="L8" s="23">
        <f t="shared" si="4"/>
        <v>60500</v>
      </c>
      <c r="M8" s="23">
        <f t="shared" si="4"/>
        <v>60500</v>
      </c>
      <c r="N8" s="23">
        <f t="shared" si="4"/>
        <v>60500</v>
      </c>
    </row>
    <row r="9">
      <c r="B9" s="16" t="s">
        <v>105</v>
      </c>
      <c r="C9" s="23">
        <f t="shared" ref="C9:N9" si="5">C42</f>
        <v>34324</v>
      </c>
      <c r="D9" s="23">
        <f t="shared" si="5"/>
        <v>34471</v>
      </c>
      <c r="E9" s="23">
        <f t="shared" si="5"/>
        <v>34912</v>
      </c>
      <c r="F9" s="23">
        <f t="shared" si="5"/>
        <v>37027</v>
      </c>
      <c r="G9" s="23">
        <f t="shared" si="5"/>
        <v>37223</v>
      </c>
      <c r="H9" s="23">
        <f t="shared" si="5"/>
        <v>37468</v>
      </c>
      <c r="I9" s="23">
        <f t="shared" si="5"/>
        <v>56881</v>
      </c>
      <c r="J9" s="23">
        <f t="shared" si="5"/>
        <v>43126</v>
      </c>
      <c r="K9" s="23">
        <f t="shared" si="5"/>
        <v>43322</v>
      </c>
      <c r="L9" s="23">
        <f t="shared" si="5"/>
        <v>44686</v>
      </c>
      <c r="M9" s="23">
        <f t="shared" si="5"/>
        <v>44833</v>
      </c>
      <c r="N9" s="23">
        <f t="shared" si="5"/>
        <v>44980</v>
      </c>
    </row>
    <row r="10">
      <c r="B10" s="16" t="s">
        <v>106</v>
      </c>
      <c r="C10" s="23">
        <f t="shared" ref="C10:N10" si="6">C57</f>
        <v>44570</v>
      </c>
      <c r="D10" s="23">
        <f t="shared" si="6"/>
        <v>39570</v>
      </c>
      <c r="E10" s="23">
        <f t="shared" si="6"/>
        <v>34570</v>
      </c>
      <c r="F10" s="23">
        <f t="shared" si="6"/>
        <v>34570</v>
      </c>
      <c r="G10" s="23">
        <f t="shared" si="6"/>
        <v>34570</v>
      </c>
      <c r="H10" s="23">
        <f t="shared" si="6"/>
        <v>34570</v>
      </c>
      <c r="I10" s="23">
        <f t="shared" si="6"/>
        <v>34570</v>
      </c>
      <c r="J10" s="23">
        <f t="shared" si="6"/>
        <v>29570</v>
      </c>
      <c r="K10" s="23">
        <f t="shared" si="6"/>
        <v>29570</v>
      </c>
      <c r="L10" s="23">
        <f t="shared" si="6"/>
        <v>29570</v>
      </c>
      <c r="M10" s="23">
        <f t="shared" si="6"/>
        <v>29570</v>
      </c>
      <c r="N10" s="23">
        <f t="shared" si="6"/>
        <v>29570</v>
      </c>
    </row>
    <row r="11">
      <c r="B11" s="33" t="s">
        <v>107</v>
      </c>
      <c r="C11" s="23">
        <f>Overview!C26*400</f>
        <v>50400</v>
      </c>
      <c r="D11" s="23">
        <f>Overview!D26*400</f>
        <v>51600</v>
      </c>
      <c r="E11" s="23">
        <f>Overview!E26*400</f>
        <v>55200</v>
      </c>
      <c r="F11" s="23">
        <f>Overview!F26*400</f>
        <v>57200</v>
      </c>
      <c r="G11" s="23">
        <f>Overview!G26*400</f>
        <v>58800</v>
      </c>
      <c r="H11" s="23">
        <f>Overview!H26*400</f>
        <v>60800</v>
      </c>
      <c r="I11" s="23">
        <f>Overview!I26*400</f>
        <v>63600</v>
      </c>
      <c r="J11" s="23">
        <f>Overview!J26*400</f>
        <v>65600</v>
      </c>
      <c r="K11" s="23">
        <f>Overview!K26*400</f>
        <v>67200</v>
      </c>
      <c r="L11" s="23">
        <f>Overview!L26*400</f>
        <v>69600</v>
      </c>
      <c r="M11" s="23">
        <f>Overview!M26*400</f>
        <v>70800</v>
      </c>
      <c r="N11" s="23">
        <f>Overview!N26*400</f>
        <v>72000</v>
      </c>
    </row>
    <row r="12">
      <c r="B12" s="34" t="s">
        <v>108</v>
      </c>
      <c r="C12" s="24">
        <v>100000.0</v>
      </c>
      <c r="D12" s="24">
        <v>5000.0</v>
      </c>
      <c r="E12" s="24">
        <v>5000.0</v>
      </c>
      <c r="F12" s="24">
        <v>5000.0</v>
      </c>
      <c r="G12" s="24">
        <v>5000.0</v>
      </c>
      <c r="H12" s="24">
        <v>5000.0</v>
      </c>
      <c r="I12" s="24">
        <v>120000.0</v>
      </c>
      <c r="J12" s="24">
        <v>5000.0</v>
      </c>
      <c r="K12" s="24">
        <v>5000.0</v>
      </c>
      <c r="L12" s="24">
        <v>5000.0</v>
      </c>
      <c r="M12" s="24">
        <v>5000.0</v>
      </c>
      <c r="N12" s="24">
        <v>5000.0</v>
      </c>
    </row>
    <row r="13">
      <c r="B13" s="34" t="s">
        <v>109</v>
      </c>
      <c r="C13" s="24">
        <v>30000.0</v>
      </c>
      <c r="D13" s="24">
        <v>7000.0</v>
      </c>
      <c r="E13" s="24">
        <v>7000.0</v>
      </c>
      <c r="F13" s="24">
        <v>7000.0</v>
      </c>
      <c r="G13" s="24">
        <v>7000.0</v>
      </c>
      <c r="H13" s="24">
        <v>7000.0</v>
      </c>
      <c r="I13" s="24">
        <v>7000.0</v>
      </c>
      <c r="J13" s="24">
        <v>10000.0</v>
      </c>
      <c r="K13" s="24">
        <v>10000.0</v>
      </c>
      <c r="L13" s="24">
        <v>10000.0</v>
      </c>
      <c r="M13" s="24">
        <v>10000.0</v>
      </c>
      <c r="N13" s="24">
        <v>40000.0</v>
      </c>
    </row>
    <row r="14">
      <c r="B14" s="16" t="s">
        <v>110</v>
      </c>
      <c r="C14" s="23">
        <f t="shared" ref="C14:N14" si="7">C68</f>
        <v>13336</v>
      </c>
      <c r="D14" s="23">
        <f t="shared" si="7"/>
        <v>13336</v>
      </c>
      <c r="E14" s="23">
        <f t="shared" si="7"/>
        <v>13336</v>
      </c>
      <c r="F14" s="23">
        <f t="shared" si="7"/>
        <v>13836</v>
      </c>
      <c r="G14" s="23">
        <f t="shared" si="7"/>
        <v>13836</v>
      </c>
      <c r="H14" s="23">
        <f t="shared" si="7"/>
        <v>13836</v>
      </c>
      <c r="I14" s="23">
        <f t="shared" si="7"/>
        <v>14336</v>
      </c>
      <c r="J14" s="23">
        <f t="shared" si="7"/>
        <v>14336</v>
      </c>
      <c r="K14" s="23">
        <f t="shared" si="7"/>
        <v>14336</v>
      </c>
      <c r="L14" s="23">
        <f t="shared" si="7"/>
        <v>14836</v>
      </c>
      <c r="M14" s="23">
        <f t="shared" si="7"/>
        <v>14836</v>
      </c>
      <c r="N14" s="23">
        <f t="shared" si="7"/>
        <v>14836</v>
      </c>
    </row>
    <row r="15">
      <c r="B15" s="1"/>
    </row>
    <row r="16">
      <c r="B16" s="32" t="s">
        <v>111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</row>
    <row r="17">
      <c r="B17" s="16" t="s">
        <v>44</v>
      </c>
      <c r="C17" s="6" t="s">
        <v>45</v>
      </c>
      <c r="D17" s="7"/>
      <c r="E17" s="8"/>
      <c r="F17" s="6" t="s">
        <v>46</v>
      </c>
      <c r="G17" s="7"/>
      <c r="H17" s="8"/>
      <c r="I17" s="6" t="s">
        <v>47</v>
      </c>
      <c r="J17" s="7"/>
      <c r="K17" s="8"/>
      <c r="L17" s="6" t="s">
        <v>48</v>
      </c>
      <c r="M17" s="7"/>
      <c r="N17" s="8"/>
    </row>
    <row r="18">
      <c r="B18" s="16" t="s">
        <v>49</v>
      </c>
      <c r="C18" s="10" t="s">
        <v>50</v>
      </c>
      <c r="D18" s="10" t="s">
        <v>51</v>
      </c>
      <c r="E18" s="10" t="s">
        <v>52</v>
      </c>
      <c r="F18" s="10" t="s">
        <v>53</v>
      </c>
      <c r="G18" s="10" t="s">
        <v>54</v>
      </c>
      <c r="H18" s="10" t="s">
        <v>55</v>
      </c>
      <c r="I18" s="10" t="s">
        <v>56</v>
      </c>
      <c r="J18" s="10" t="s">
        <v>57</v>
      </c>
      <c r="K18" s="10" t="s">
        <v>58</v>
      </c>
      <c r="L18" s="10" t="s">
        <v>59</v>
      </c>
      <c r="M18" s="10" t="s">
        <v>60</v>
      </c>
      <c r="N18" s="10" t="s">
        <v>61</v>
      </c>
    </row>
    <row r="19">
      <c r="B19" s="9" t="s">
        <v>112</v>
      </c>
      <c r="C19" s="20">
        <f t="shared" ref="C19:N19" si="8">SUM(C20:C22)</f>
        <v>80000</v>
      </c>
      <c r="D19" s="20">
        <f t="shared" si="8"/>
        <v>80000</v>
      </c>
      <c r="E19" s="20">
        <f t="shared" si="8"/>
        <v>80000</v>
      </c>
      <c r="F19" s="20">
        <f t="shared" si="8"/>
        <v>80000</v>
      </c>
      <c r="G19" s="20">
        <f t="shared" si="8"/>
        <v>80000</v>
      </c>
      <c r="H19" s="20">
        <f t="shared" si="8"/>
        <v>80000</v>
      </c>
      <c r="I19" s="20">
        <f t="shared" si="8"/>
        <v>80000</v>
      </c>
      <c r="J19" s="20">
        <f t="shared" si="8"/>
        <v>80000</v>
      </c>
      <c r="K19" s="20">
        <f t="shared" si="8"/>
        <v>80000</v>
      </c>
      <c r="L19" s="20">
        <f t="shared" si="8"/>
        <v>80000</v>
      </c>
      <c r="M19" s="20">
        <f t="shared" si="8"/>
        <v>80000</v>
      </c>
      <c r="N19" s="20">
        <f t="shared" si="8"/>
        <v>80000</v>
      </c>
    </row>
    <row r="20">
      <c r="B20" s="16" t="s">
        <v>113</v>
      </c>
      <c r="C20" s="24">
        <v>30000.0</v>
      </c>
      <c r="D20" s="24">
        <v>30000.0</v>
      </c>
      <c r="E20" s="24">
        <v>30000.0</v>
      </c>
      <c r="F20" s="24">
        <v>30000.0</v>
      </c>
      <c r="G20" s="24">
        <v>30000.0</v>
      </c>
      <c r="H20" s="24">
        <v>30000.0</v>
      </c>
      <c r="I20" s="24">
        <v>30000.0</v>
      </c>
      <c r="J20" s="24">
        <v>30000.0</v>
      </c>
      <c r="K20" s="24">
        <v>30000.0</v>
      </c>
      <c r="L20" s="24">
        <v>30000.0</v>
      </c>
      <c r="M20" s="24">
        <v>30000.0</v>
      </c>
      <c r="N20" s="24">
        <v>30000.0</v>
      </c>
    </row>
    <row r="21">
      <c r="B21" s="16" t="s">
        <v>114</v>
      </c>
      <c r="C21" s="24">
        <v>25000.0</v>
      </c>
      <c r="D21" s="24">
        <v>25000.0</v>
      </c>
      <c r="E21" s="24">
        <v>25000.0</v>
      </c>
      <c r="F21" s="24">
        <v>25000.0</v>
      </c>
      <c r="G21" s="24">
        <v>25000.0</v>
      </c>
      <c r="H21" s="24">
        <v>25000.0</v>
      </c>
      <c r="I21" s="24">
        <v>25000.0</v>
      </c>
      <c r="J21" s="24">
        <v>25000.0</v>
      </c>
      <c r="K21" s="24">
        <v>25000.0</v>
      </c>
      <c r="L21" s="24">
        <v>25000.0</v>
      </c>
      <c r="M21" s="24">
        <v>25000.0</v>
      </c>
      <c r="N21" s="24">
        <v>25000.0</v>
      </c>
    </row>
    <row r="22">
      <c r="B22" s="16" t="s">
        <v>115</v>
      </c>
      <c r="C22" s="24">
        <v>25000.0</v>
      </c>
      <c r="D22" s="24">
        <v>25000.0</v>
      </c>
      <c r="E22" s="24">
        <v>25000.0</v>
      </c>
      <c r="F22" s="24">
        <v>25000.0</v>
      </c>
      <c r="G22" s="24">
        <v>25000.0</v>
      </c>
      <c r="H22" s="24">
        <v>25000.0</v>
      </c>
      <c r="I22" s="24">
        <v>25000.0</v>
      </c>
      <c r="J22" s="24">
        <v>25000.0</v>
      </c>
      <c r="K22" s="24">
        <v>25000.0</v>
      </c>
      <c r="L22" s="24">
        <v>25000.0</v>
      </c>
      <c r="M22" s="24">
        <v>25000.0</v>
      </c>
      <c r="N22" s="24">
        <v>25000.0</v>
      </c>
    </row>
    <row r="23">
      <c r="B23" s="1"/>
    </row>
    <row r="24">
      <c r="B24" s="32" t="s">
        <v>116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</row>
    <row r="25">
      <c r="B25" s="16" t="s">
        <v>44</v>
      </c>
      <c r="C25" s="6" t="s">
        <v>45</v>
      </c>
      <c r="D25" s="7"/>
      <c r="E25" s="8"/>
      <c r="F25" s="6" t="s">
        <v>46</v>
      </c>
      <c r="G25" s="7"/>
      <c r="H25" s="8"/>
      <c r="I25" s="6" t="s">
        <v>47</v>
      </c>
      <c r="J25" s="7"/>
      <c r="K25" s="8"/>
      <c r="L25" s="6" t="s">
        <v>48</v>
      </c>
      <c r="M25" s="7"/>
      <c r="N25" s="8"/>
    </row>
    <row r="26">
      <c r="B26" s="16" t="s">
        <v>49</v>
      </c>
      <c r="C26" s="10" t="s">
        <v>50</v>
      </c>
      <c r="D26" s="10" t="s">
        <v>51</v>
      </c>
      <c r="E26" s="10" t="s">
        <v>52</v>
      </c>
      <c r="F26" s="10" t="s">
        <v>53</v>
      </c>
      <c r="G26" s="10" t="s">
        <v>54</v>
      </c>
      <c r="H26" s="10" t="s">
        <v>55</v>
      </c>
      <c r="I26" s="10" t="s">
        <v>56</v>
      </c>
      <c r="J26" s="10" t="s">
        <v>57</v>
      </c>
      <c r="K26" s="10" t="s">
        <v>58</v>
      </c>
      <c r="L26" s="10" t="s">
        <v>59</v>
      </c>
      <c r="M26" s="10" t="s">
        <v>60</v>
      </c>
      <c r="N26" s="10" t="s">
        <v>61</v>
      </c>
    </row>
    <row r="27">
      <c r="B27" s="9" t="s">
        <v>117</v>
      </c>
      <c r="C27" s="20">
        <f t="shared" ref="C27:N27" si="9">SUM(C28:C37)</f>
        <v>49500</v>
      </c>
      <c r="D27" s="20">
        <f t="shared" si="9"/>
        <v>49500</v>
      </c>
      <c r="E27" s="20">
        <f t="shared" si="9"/>
        <v>49500</v>
      </c>
      <c r="F27" s="20">
        <f t="shared" si="9"/>
        <v>51000</v>
      </c>
      <c r="G27" s="20">
        <f t="shared" si="9"/>
        <v>52000</v>
      </c>
      <c r="H27" s="20">
        <f t="shared" si="9"/>
        <v>54500</v>
      </c>
      <c r="I27" s="20">
        <f t="shared" si="9"/>
        <v>57500</v>
      </c>
      <c r="J27" s="20">
        <f t="shared" si="9"/>
        <v>57500</v>
      </c>
      <c r="K27" s="20">
        <f t="shared" si="9"/>
        <v>57500</v>
      </c>
      <c r="L27" s="20">
        <f t="shared" si="9"/>
        <v>60500</v>
      </c>
      <c r="M27" s="20">
        <f t="shared" si="9"/>
        <v>60500</v>
      </c>
      <c r="N27" s="20">
        <f t="shared" si="9"/>
        <v>60500</v>
      </c>
    </row>
    <row r="28">
      <c r="B28" s="33" t="s">
        <v>118</v>
      </c>
      <c r="C28" s="35">
        <v>7000.0</v>
      </c>
      <c r="D28" s="35">
        <v>7000.0</v>
      </c>
      <c r="E28" s="35">
        <v>7000.0</v>
      </c>
      <c r="F28" s="35">
        <v>7500.0</v>
      </c>
      <c r="G28" s="35">
        <v>7500.0</v>
      </c>
      <c r="H28" s="35">
        <v>7500.0</v>
      </c>
      <c r="I28" s="35">
        <v>7500.0</v>
      </c>
      <c r="J28" s="35">
        <v>7500.0</v>
      </c>
      <c r="K28" s="35">
        <v>7500.0</v>
      </c>
      <c r="L28" s="35">
        <v>7500.0</v>
      </c>
      <c r="M28" s="35">
        <v>7500.0</v>
      </c>
      <c r="N28" s="35">
        <v>7500.0</v>
      </c>
    </row>
    <row r="29">
      <c r="B29" s="16" t="s">
        <v>119</v>
      </c>
      <c r="C29" s="24">
        <v>3500.0</v>
      </c>
      <c r="D29" s="24">
        <v>3500.0</v>
      </c>
      <c r="E29" s="24">
        <v>3500.0</v>
      </c>
      <c r="F29" s="24">
        <v>3500.0</v>
      </c>
      <c r="G29" s="24">
        <v>3500.0</v>
      </c>
      <c r="H29" s="24">
        <v>3500.0</v>
      </c>
      <c r="I29" s="24">
        <v>4000.0</v>
      </c>
      <c r="J29" s="24">
        <v>4000.0</v>
      </c>
      <c r="K29" s="24">
        <v>4000.0</v>
      </c>
      <c r="L29" s="24">
        <v>4000.0</v>
      </c>
      <c r="M29" s="24">
        <v>4000.0</v>
      </c>
      <c r="N29" s="24">
        <v>4000.0</v>
      </c>
    </row>
    <row r="30">
      <c r="B30" s="16" t="s">
        <v>120</v>
      </c>
      <c r="C30" s="24">
        <v>2000.0</v>
      </c>
      <c r="D30" s="24">
        <v>2000.0</v>
      </c>
      <c r="E30" s="24">
        <v>2000.0</v>
      </c>
      <c r="F30" s="24">
        <v>2000.0</v>
      </c>
      <c r="G30" s="24">
        <v>3000.0</v>
      </c>
      <c r="H30" s="24">
        <v>3000.0</v>
      </c>
      <c r="I30" s="24">
        <v>3000.0</v>
      </c>
      <c r="J30" s="24">
        <v>3000.0</v>
      </c>
      <c r="K30" s="24">
        <v>3000.0</v>
      </c>
      <c r="L30" s="24">
        <v>3500.0</v>
      </c>
      <c r="M30" s="24">
        <v>3500.0</v>
      </c>
      <c r="N30" s="24">
        <v>3500.0</v>
      </c>
    </row>
    <row r="31">
      <c r="B31" s="16" t="s">
        <v>121</v>
      </c>
      <c r="C31" s="35">
        <v>7000.0</v>
      </c>
      <c r="D31" s="35">
        <v>7000.0</v>
      </c>
      <c r="E31" s="35">
        <v>7000.0</v>
      </c>
      <c r="F31" s="35">
        <v>7000.0</v>
      </c>
      <c r="G31" s="35">
        <v>7000.0</v>
      </c>
      <c r="H31" s="35">
        <v>7000.0</v>
      </c>
      <c r="I31" s="35">
        <v>7500.0</v>
      </c>
      <c r="J31" s="35">
        <v>7500.0</v>
      </c>
      <c r="K31" s="35">
        <v>7500.0</v>
      </c>
      <c r="L31" s="35">
        <v>7500.0</v>
      </c>
      <c r="M31" s="35">
        <v>7500.0</v>
      </c>
      <c r="N31" s="35">
        <v>7500.0</v>
      </c>
    </row>
    <row r="32">
      <c r="B32" s="16" t="s">
        <v>122</v>
      </c>
      <c r="C32" s="24">
        <v>3500.0</v>
      </c>
      <c r="D32" s="24">
        <v>3500.0</v>
      </c>
      <c r="E32" s="24">
        <v>3500.0</v>
      </c>
      <c r="F32" s="24">
        <v>4000.0</v>
      </c>
      <c r="G32" s="24">
        <v>4000.0</v>
      </c>
      <c r="H32" s="24">
        <v>4000.0</v>
      </c>
      <c r="I32" s="24">
        <v>4500.0</v>
      </c>
      <c r="J32" s="24">
        <v>4500.0</v>
      </c>
      <c r="K32" s="24">
        <v>4500.0</v>
      </c>
      <c r="L32" s="24">
        <v>4500.0</v>
      </c>
      <c r="M32" s="24">
        <v>4500.0</v>
      </c>
      <c r="N32" s="24">
        <v>4500.0</v>
      </c>
    </row>
    <row r="33">
      <c r="B33" s="16" t="s">
        <v>123</v>
      </c>
      <c r="C33" s="35">
        <v>7000.0</v>
      </c>
      <c r="D33" s="35">
        <v>7000.0</v>
      </c>
      <c r="E33" s="35">
        <v>7000.0</v>
      </c>
      <c r="F33" s="35">
        <v>7000.0</v>
      </c>
      <c r="G33" s="35">
        <v>7000.0</v>
      </c>
      <c r="H33" s="35">
        <v>7000.0</v>
      </c>
      <c r="I33" s="35">
        <v>8000.0</v>
      </c>
      <c r="J33" s="35">
        <v>8000.0</v>
      </c>
      <c r="K33" s="35">
        <v>8000.0</v>
      </c>
      <c r="L33" s="35">
        <v>8000.0</v>
      </c>
      <c r="M33" s="35">
        <v>8000.0</v>
      </c>
      <c r="N33" s="35">
        <v>8000.0</v>
      </c>
    </row>
    <row r="34">
      <c r="B34" s="33" t="s">
        <v>124</v>
      </c>
      <c r="C34" s="35">
        <v>6500.0</v>
      </c>
      <c r="D34" s="35">
        <v>6500.0</v>
      </c>
      <c r="E34" s="35">
        <v>6500.0</v>
      </c>
      <c r="F34" s="35">
        <v>7000.0</v>
      </c>
      <c r="G34" s="35">
        <v>7000.0</v>
      </c>
      <c r="H34" s="35">
        <v>7000.0</v>
      </c>
      <c r="I34" s="35">
        <v>7000.0</v>
      </c>
      <c r="J34" s="35">
        <v>7000.0</v>
      </c>
      <c r="K34" s="35">
        <v>7000.0</v>
      </c>
      <c r="L34" s="35">
        <v>7000.0</v>
      </c>
      <c r="M34" s="35">
        <v>7000.0</v>
      </c>
      <c r="N34" s="35">
        <v>7000.0</v>
      </c>
    </row>
    <row r="35">
      <c r="B35" s="16" t="s">
        <v>125</v>
      </c>
      <c r="C35" s="24">
        <v>6000.0</v>
      </c>
      <c r="D35" s="24">
        <v>6000.0</v>
      </c>
      <c r="E35" s="24">
        <v>6000.0</v>
      </c>
      <c r="F35" s="24">
        <v>6000.0</v>
      </c>
      <c r="G35" s="24">
        <v>6000.0</v>
      </c>
      <c r="H35" s="24">
        <v>6000.0</v>
      </c>
      <c r="I35" s="35">
        <v>6500.0</v>
      </c>
      <c r="J35" s="35">
        <v>6500.0</v>
      </c>
      <c r="K35" s="35">
        <v>6500.0</v>
      </c>
      <c r="L35" s="35">
        <v>6500.0</v>
      </c>
      <c r="M35" s="35">
        <v>6500.0</v>
      </c>
      <c r="N35" s="35">
        <v>6500.0</v>
      </c>
    </row>
    <row r="36">
      <c r="B36" s="16" t="s">
        <v>126</v>
      </c>
      <c r="C36" s="35">
        <v>7000.0</v>
      </c>
      <c r="D36" s="35">
        <v>7000.0</v>
      </c>
      <c r="E36" s="35">
        <v>7000.0</v>
      </c>
      <c r="F36" s="35">
        <v>7000.0</v>
      </c>
      <c r="G36" s="35">
        <v>7000.0</v>
      </c>
      <c r="H36" s="35">
        <v>7500.0</v>
      </c>
      <c r="I36" s="35">
        <v>7500.0</v>
      </c>
      <c r="J36" s="35">
        <v>7500.0</v>
      </c>
      <c r="K36" s="35">
        <v>7500.0</v>
      </c>
      <c r="L36" s="35">
        <v>8000.0</v>
      </c>
      <c r="M36" s="35">
        <v>8000.0</v>
      </c>
      <c r="N36" s="35">
        <v>8000.0</v>
      </c>
    </row>
    <row r="37">
      <c r="B37" s="16" t="s">
        <v>127</v>
      </c>
      <c r="C37" s="36"/>
      <c r="D37" s="36"/>
      <c r="E37" s="36"/>
      <c r="F37" s="36"/>
      <c r="G37" s="36"/>
      <c r="H37" s="24">
        <v>2000.0</v>
      </c>
      <c r="I37" s="24">
        <v>2000.0</v>
      </c>
      <c r="J37" s="24">
        <v>2000.0</v>
      </c>
      <c r="K37" s="24">
        <v>2000.0</v>
      </c>
      <c r="L37" s="24">
        <v>4000.0</v>
      </c>
      <c r="M37" s="24">
        <v>4000.0</v>
      </c>
      <c r="N37" s="24">
        <v>4000.0</v>
      </c>
    </row>
    <row r="39">
      <c r="B39" s="32" t="s">
        <v>128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"/>
    </row>
    <row r="40">
      <c r="B40" s="16" t="s">
        <v>44</v>
      </c>
      <c r="C40" s="6" t="s">
        <v>45</v>
      </c>
      <c r="D40" s="7"/>
      <c r="E40" s="8"/>
      <c r="F40" s="6" t="s">
        <v>46</v>
      </c>
      <c r="G40" s="7"/>
      <c r="H40" s="8"/>
      <c r="I40" s="6" t="s">
        <v>47</v>
      </c>
      <c r="J40" s="7"/>
      <c r="K40" s="8"/>
      <c r="L40" s="6" t="s">
        <v>48</v>
      </c>
      <c r="M40" s="7"/>
      <c r="N40" s="8"/>
    </row>
    <row r="41">
      <c r="B41" s="16" t="s">
        <v>49</v>
      </c>
      <c r="C41" s="10" t="s">
        <v>50</v>
      </c>
      <c r="D41" s="10" t="s">
        <v>51</v>
      </c>
      <c r="E41" s="10" t="s">
        <v>52</v>
      </c>
      <c r="F41" s="10" t="s">
        <v>53</v>
      </c>
      <c r="G41" s="10" t="s">
        <v>54</v>
      </c>
      <c r="H41" s="10" t="s">
        <v>55</v>
      </c>
      <c r="I41" s="10" t="s">
        <v>56</v>
      </c>
      <c r="J41" s="10" t="s">
        <v>57</v>
      </c>
      <c r="K41" s="10" t="s">
        <v>58</v>
      </c>
      <c r="L41" s="10" t="s">
        <v>59</v>
      </c>
      <c r="M41" s="10" t="s">
        <v>60</v>
      </c>
      <c r="N41" s="10" t="s">
        <v>61</v>
      </c>
    </row>
    <row r="42">
      <c r="B42" s="9" t="s">
        <v>129</v>
      </c>
      <c r="C42" s="20">
        <f t="shared" ref="C42:N42" si="10">SUM(C43:C52)</f>
        <v>34324</v>
      </c>
      <c r="D42" s="20">
        <f t="shared" si="10"/>
        <v>34471</v>
      </c>
      <c r="E42" s="20">
        <f t="shared" si="10"/>
        <v>34912</v>
      </c>
      <c r="F42" s="20">
        <f t="shared" si="10"/>
        <v>37027</v>
      </c>
      <c r="G42" s="20">
        <f t="shared" si="10"/>
        <v>37223</v>
      </c>
      <c r="H42" s="20">
        <f t="shared" si="10"/>
        <v>37468</v>
      </c>
      <c r="I42" s="20">
        <f t="shared" si="10"/>
        <v>56881</v>
      </c>
      <c r="J42" s="20">
        <f t="shared" si="10"/>
        <v>43126</v>
      </c>
      <c r="K42" s="20">
        <f t="shared" si="10"/>
        <v>43322</v>
      </c>
      <c r="L42" s="20">
        <f t="shared" si="10"/>
        <v>44686</v>
      </c>
      <c r="M42" s="20">
        <f t="shared" si="10"/>
        <v>44833</v>
      </c>
      <c r="N42" s="20">
        <f t="shared" si="10"/>
        <v>44980</v>
      </c>
    </row>
    <row r="43">
      <c r="B43" s="16" t="s">
        <v>130</v>
      </c>
      <c r="C43" s="24">
        <v>5000.0</v>
      </c>
      <c r="D43" s="24">
        <v>5000.0</v>
      </c>
      <c r="E43" s="24">
        <v>5000.0</v>
      </c>
      <c r="F43" s="24">
        <v>5000.0</v>
      </c>
      <c r="G43" s="24">
        <v>5000.0</v>
      </c>
      <c r="H43" s="24">
        <v>5000.0</v>
      </c>
      <c r="I43" s="24">
        <v>5000.0</v>
      </c>
      <c r="J43" s="24">
        <v>5000.0</v>
      </c>
      <c r="K43" s="24">
        <v>5000.0</v>
      </c>
      <c r="L43" s="24">
        <v>5000.0</v>
      </c>
      <c r="M43" s="24">
        <v>5000.0</v>
      </c>
      <c r="N43" s="24">
        <v>5000.0</v>
      </c>
    </row>
    <row r="44">
      <c r="B44" s="16" t="s">
        <v>131</v>
      </c>
      <c r="C44" s="24">
        <v>2700.0</v>
      </c>
      <c r="D44" s="24">
        <v>2700.0</v>
      </c>
      <c r="E44" s="24">
        <v>2700.0</v>
      </c>
      <c r="F44" s="24">
        <v>3500.0</v>
      </c>
      <c r="G44" s="24">
        <v>3500.0</v>
      </c>
      <c r="H44" s="24">
        <v>3500.0</v>
      </c>
      <c r="I44" s="24">
        <v>4000.0</v>
      </c>
      <c r="J44" s="24">
        <v>4000.0</v>
      </c>
      <c r="K44" s="24">
        <v>4000.0</v>
      </c>
      <c r="L44" s="24">
        <v>4500.0</v>
      </c>
      <c r="M44" s="24">
        <v>4500.0</v>
      </c>
      <c r="N44" s="24">
        <v>4500.0</v>
      </c>
    </row>
    <row r="45">
      <c r="B45" s="16" t="s">
        <v>132</v>
      </c>
      <c r="C45" s="24">
        <v>2000.0</v>
      </c>
      <c r="D45" s="24">
        <v>2000.0</v>
      </c>
      <c r="E45" s="24">
        <v>2000.0</v>
      </c>
      <c r="F45" s="24">
        <v>2500.0</v>
      </c>
      <c r="G45" s="24">
        <v>2500.0</v>
      </c>
      <c r="H45" s="24">
        <v>2500.0</v>
      </c>
      <c r="I45" s="24">
        <v>3000.0</v>
      </c>
      <c r="J45" s="24">
        <v>3000.0</v>
      </c>
      <c r="K45" s="24">
        <v>3000.0</v>
      </c>
      <c r="L45" s="24">
        <v>3000.0</v>
      </c>
      <c r="M45" s="24">
        <v>3000.0</v>
      </c>
      <c r="N45" s="24">
        <v>3000.0</v>
      </c>
    </row>
    <row r="46">
      <c r="B46" s="16" t="s">
        <v>133</v>
      </c>
      <c r="C46" s="24">
        <f>Overview!C26*49</f>
        <v>6174</v>
      </c>
      <c r="D46" s="24">
        <f>Overview!D26*49</f>
        <v>6321</v>
      </c>
      <c r="E46" s="24">
        <f>Overview!E26*49</f>
        <v>6762</v>
      </c>
      <c r="F46" s="24">
        <f>Overview!F26*49</f>
        <v>7007</v>
      </c>
      <c r="G46" s="24">
        <f>Overview!G26*49</f>
        <v>7203</v>
      </c>
      <c r="H46" s="24">
        <f>Overview!H26*49</f>
        <v>7448</v>
      </c>
      <c r="I46" s="24">
        <f>Overview!I26*49</f>
        <v>7791</v>
      </c>
      <c r="J46" s="24">
        <f>Overview!J26*49</f>
        <v>8036</v>
      </c>
      <c r="K46" s="24">
        <f>Overview!K26*49</f>
        <v>8232</v>
      </c>
      <c r="L46" s="24">
        <f>Overview!L26*49</f>
        <v>8526</v>
      </c>
      <c r="M46" s="24">
        <f>Overview!M26*49</f>
        <v>8673</v>
      </c>
      <c r="N46" s="24">
        <f>Overview!N26*49</f>
        <v>8820</v>
      </c>
    </row>
    <row r="47">
      <c r="B47" s="16" t="s">
        <v>134</v>
      </c>
      <c r="C47" s="24">
        <v>1300.0</v>
      </c>
      <c r="D47" s="24">
        <v>1300.0</v>
      </c>
      <c r="E47" s="24">
        <v>1300.0</v>
      </c>
      <c r="F47" s="24">
        <v>1300.0</v>
      </c>
      <c r="G47" s="24">
        <v>1300.0</v>
      </c>
      <c r="H47" s="24">
        <v>1300.0</v>
      </c>
      <c r="I47" s="24">
        <v>1300.0</v>
      </c>
      <c r="J47" s="24">
        <v>1300.0</v>
      </c>
      <c r="K47" s="24">
        <v>1300.0</v>
      </c>
      <c r="L47" s="24">
        <v>1300.0</v>
      </c>
      <c r="M47" s="24">
        <v>1300.0</v>
      </c>
      <c r="N47" s="24">
        <v>1300.0</v>
      </c>
    </row>
    <row r="48">
      <c r="B48" s="16" t="s">
        <v>135</v>
      </c>
      <c r="C48" s="24">
        <v>800.0</v>
      </c>
      <c r="D48" s="24">
        <v>800.0</v>
      </c>
      <c r="E48" s="24">
        <v>800.0</v>
      </c>
      <c r="F48" s="24">
        <v>800.0</v>
      </c>
      <c r="G48" s="24">
        <v>800.0</v>
      </c>
      <c r="H48" s="24">
        <v>800.0</v>
      </c>
      <c r="I48" s="24">
        <v>800.0</v>
      </c>
      <c r="J48" s="24">
        <v>800.0</v>
      </c>
      <c r="K48" s="24">
        <v>800.0</v>
      </c>
      <c r="L48" s="24">
        <v>800.0</v>
      </c>
      <c r="M48" s="24">
        <v>800.0</v>
      </c>
      <c r="N48" s="24">
        <v>800.0</v>
      </c>
    </row>
    <row r="49">
      <c r="B49" s="16" t="s">
        <v>136</v>
      </c>
      <c r="C49" s="24">
        <v>12000.0</v>
      </c>
      <c r="D49" s="24">
        <v>12000.0</v>
      </c>
      <c r="E49" s="24">
        <v>12000.0</v>
      </c>
      <c r="F49" s="24">
        <v>12000.0</v>
      </c>
      <c r="G49" s="24">
        <v>12000.0</v>
      </c>
      <c r="H49" s="24">
        <v>12000.0</v>
      </c>
      <c r="I49" s="24">
        <v>15000.0</v>
      </c>
      <c r="J49" s="24">
        <v>15000.0</v>
      </c>
      <c r="K49" s="24">
        <v>15000.0</v>
      </c>
      <c r="L49" s="24">
        <v>15000.0</v>
      </c>
      <c r="M49" s="24">
        <v>15000.0</v>
      </c>
      <c r="N49" s="24">
        <v>15000.0</v>
      </c>
    </row>
    <row r="50">
      <c r="B50" s="16" t="s">
        <v>137</v>
      </c>
      <c r="C50" s="37"/>
      <c r="D50" s="37"/>
      <c r="E50" s="37"/>
      <c r="F50" s="37"/>
      <c r="G50" s="37"/>
      <c r="H50" s="37"/>
      <c r="I50" s="24">
        <v>14000.0</v>
      </c>
      <c r="J50" s="37"/>
      <c r="K50" s="37"/>
      <c r="L50" s="37"/>
      <c r="M50" s="37"/>
      <c r="N50" s="37"/>
    </row>
    <row r="51">
      <c r="B51" s="16" t="s">
        <v>138</v>
      </c>
      <c r="C51" s="24">
        <f t="shared" ref="C51:E51" si="11">25*19*6</f>
        <v>2850</v>
      </c>
      <c r="D51" s="24">
        <f t="shared" si="11"/>
        <v>2850</v>
      </c>
      <c r="E51" s="24">
        <f t="shared" si="11"/>
        <v>2850</v>
      </c>
      <c r="F51" s="24">
        <f t="shared" ref="F51:H51" si="12">30*19*6</f>
        <v>3420</v>
      </c>
      <c r="G51" s="24">
        <f t="shared" si="12"/>
        <v>3420</v>
      </c>
      <c r="H51" s="24">
        <f t="shared" si="12"/>
        <v>3420</v>
      </c>
      <c r="I51" s="24">
        <f t="shared" ref="I51:K51" si="13">35*19*6</f>
        <v>3990</v>
      </c>
      <c r="J51" s="24">
        <f t="shared" si="13"/>
        <v>3990</v>
      </c>
      <c r="K51" s="24">
        <f t="shared" si="13"/>
        <v>3990</v>
      </c>
      <c r="L51" s="24">
        <f t="shared" ref="L51:N51" si="14">40*19*6</f>
        <v>4560</v>
      </c>
      <c r="M51" s="24">
        <f t="shared" si="14"/>
        <v>4560</v>
      </c>
      <c r="N51" s="24">
        <f t="shared" si="14"/>
        <v>4560</v>
      </c>
    </row>
    <row r="52">
      <c r="B52" s="16" t="s">
        <v>139</v>
      </c>
      <c r="C52" s="24">
        <v>1500.0</v>
      </c>
      <c r="D52" s="24">
        <v>1500.0</v>
      </c>
      <c r="E52" s="24">
        <v>1500.0</v>
      </c>
      <c r="F52" s="24">
        <v>1500.0</v>
      </c>
      <c r="G52" s="24">
        <v>1500.0</v>
      </c>
      <c r="H52" s="24">
        <v>1500.0</v>
      </c>
      <c r="I52" s="24">
        <v>2000.0</v>
      </c>
      <c r="J52" s="24">
        <v>2000.0</v>
      </c>
      <c r="K52" s="24">
        <v>2000.0</v>
      </c>
      <c r="L52" s="24">
        <v>2000.0</v>
      </c>
      <c r="M52" s="24">
        <v>2000.0</v>
      </c>
      <c r="N52" s="24">
        <v>2000.0</v>
      </c>
    </row>
    <row r="54">
      <c r="B54" s="32" t="s">
        <v>140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</row>
    <row r="55">
      <c r="B55" s="16" t="s">
        <v>44</v>
      </c>
      <c r="C55" s="6" t="s">
        <v>45</v>
      </c>
      <c r="D55" s="7"/>
      <c r="E55" s="8"/>
      <c r="F55" s="6" t="s">
        <v>46</v>
      </c>
      <c r="G55" s="7"/>
      <c r="H55" s="8"/>
      <c r="I55" s="6" t="s">
        <v>47</v>
      </c>
      <c r="J55" s="7"/>
      <c r="K55" s="8"/>
      <c r="L55" s="6" t="s">
        <v>48</v>
      </c>
      <c r="M55" s="7"/>
      <c r="N55" s="8"/>
    </row>
    <row r="56">
      <c r="B56" s="16" t="s">
        <v>49</v>
      </c>
      <c r="C56" s="10" t="s">
        <v>50</v>
      </c>
      <c r="D56" s="10" t="s">
        <v>51</v>
      </c>
      <c r="E56" s="10" t="s">
        <v>52</v>
      </c>
      <c r="F56" s="10" t="s">
        <v>53</v>
      </c>
      <c r="G56" s="10" t="s">
        <v>54</v>
      </c>
      <c r="H56" s="10" t="s">
        <v>55</v>
      </c>
      <c r="I56" s="10" t="s">
        <v>56</v>
      </c>
      <c r="J56" s="10" t="s">
        <v>57</v>
      </c>
      <c r="K56" s="10" t="s">
        <v>58</v>
      </c>
      <c r="L56" s="10" t="s">
        <v>59</v>
      </c>
      <c r="M56" s="10" t="s">
        <v>60</v>
      </c>
      <c r="N56" s="10" t="s">
        <v>61</v>
      </c>
    </row>
    <row r="57">
      <c r="B57" s="9" t="s">
        <v>141</v>
      </c>
      <c r="C57" s="20">
        <f t="shared" ref="C57:N57" si="15">SUM(C58:C63)</f>
        <v>44570</v>
      </c>
      <c r="D57" s="20">
        <f t="shared" si="15"/>
        <v>39570</v>
      </c>
      <c r="E57" s="20">
        <f t="shared" si="15"/>
        <v>34570</v>
      </c>
      <c r="F57" s="20">
        <f t="shared" si="15"/>
        <v>34570</v>
      </c>
      <c r="G57" s="20">
        <f t="shared" si="15"/>
        <v>34570</v>
      </c>
      <c r="H57" s="20">
        <f t="shared" si="15"/>
        <v>34570</v>
      </c>
      <c r="I57" s="20">
        <f t="shared" si="15"/>
        <v>34570</v>
      </c>
      <c r="J57" s="20">
        <f t="shared" si="15"/>
        <v>29570</v>
      </c>
      <c r="K57" s="20">
        <f t="shared" si="15"/>
        <v>29570</v>
      </c>
      <c r="L57" s="20">
        <f t="shared" si="15"/>
        <v>29570</v>
      </c>
      <c r="M57" s="20">
        <f t="shared" si="15"/>
        <v>29570</v>
      </c>
      <c r="N57" s="20">
        <f t="shared" si="15"/>
        <v>29570</v>
      </c>
    </row>
    <row r="58">
      <c r="B58" s="16" t="s">
        <v>142</v>
      </c>
      <c r="C58" s="24">
        <v>1000.0</v>
      </c>
      <c r="D58" s="24">
        <v>1000.0</v>
      </c>
      <c r="E58" s="24">
        <v>1000.0</v>
      </c>
      <c r="F58" s="24">
        <v>1000.0</v>
      </c>
      <c r="G58" s="24">
        <v>1000.0</v>
      </c>
      <c r="H58" s="24">
        <v>1000.0</v>
      </c>
      <c r="I58" s="24">
        <v>1000.0</v>
      </c>
      <c r="J58" s="24">
        <v>1000.0</v>
      </c>
      <c r="K58" s="24">
        <v>1000.0</v>
      </c>
      <c r="L58" s="24">
        <v>1000.0</v>
      </c>
      <c r="M58" s="24">
        <v>1000.0</v>
      </c>
      <c r="N58" s="24">
        <v>1000.0</v>
      </c>
    </row>
    <row r="59">
      <c r="B59" s="16" t="s">
        <v>143</v>
      </c>
      <c r="C59" s="24">
        <v>2450.0</v>
      </c>
      <c r="D59" s="24">
        <v>2450.0</v>
      </c>
      <c r="E59" s="24">
        <v>2450.0</v>
      </c>
      <c r="F59" s="24">
        <v>2450.0</v>
      </c>
      <c r="G59" s="24">
        <v>2450.0</v>
      </c>
      <c r="H59" s="24">
        <v>2450.0</v>
      </c>
      <c r="I59" s="24">
        <v>2450.0</v>
      </c>
      <c r="J59" s="24">
        <v>2450.0</v>
      </c>
      <c r="K59" s="24">
        <v>2450.0</v>
      </c>
      <c r="L59" s="24">
        <v>2450.0</v>
      </c>
      <c r="M59" s="24">
        <v>2450.0</v>
      </c>
      <c r="N59" s="24">
        <v>2450.0</v>
      </c>
    </row>
    <row r="60">
      <c r="B60" s="34" t="s">
        <v>144</v>
      </c>
      <c r="C60" s="24">
        <v>16120.0</v>
      </c>
      <c r="D60" s="24">
        <v>16120.0</v>
      </c>
      <c r="E60" s="24">
        <v>16120.0</v>
      </c>
      <c r="F60" s="24">
        <v>16120.0</v>
      </c>
      <c r="G60" s="24">
        <v>16120.0</v>
      </c>
      <c r="H60" s="24">
        <v>16120.0</v>
      </c>
      <c r="I60" s="24">
        <v>16120.0</v>
      </c>
      <c r="J60" s="24">
        <v>16120.0</v>
      </c>
      <c r="K60" s="24">
        <v>16120.0</v>
      </c>
      <c r="L60" s="24">
        <v>16120.0</v>
      </c>
      <c r="M60" s="24">
        <v>16120.0</v>
      </c>
      <c r="N60" s="24">
        <v>16120.0</v>
      </c>
    </row>
    <row r="61">
      <c r="B61" s="16" t="s">
        <v>145</v>
      </c>
      <c r="C61" s="24">
        <v>10000.0</v>
      </c>
      <c r="D61" s="24">
        <v>10000.0</v>
      </c>
      <c r="E61" s="24">
        <v>10000.0</v>
      </c>
      <c r="F61" s="24">
        <v>10000.0</v>
      </c>
      <c r="G61" s="24">
        <v>10000.0</v>
      </c>
      <c r="H61" s="24">
        <v>10000.0</v>
      </c>
      <c r="I61" s="24">
        <v>10000.0</v>
      </c>
      <c r="J61" s="24">
        <v>10000.0</v>
      </c>
      <c r="K61" s="24">
        <v>10000.0</v>
      </c>
      <c r="L61" s="24">
        <v>10000.0</v>
      </c>
      <c r="M61" s="24">
        <v>10000.0</v>
      </c>
      <c r="N61" s="24">
        <v>10000.0</v>
      </c>
    </row>
    <row r="62">
      <c r="B62" s="16" t="s">
        <v>146</v>
      </c>
      <c r="C62" s="24">
        <v>15000.0</v>
      </c>
      <c r="D62" s="24">
        <v>10000.0</v>
      </c>
      <c r="E62" s="24">
        <v>5000.0</v>
      </c>
      <c r="F62" s="24">
        <v>5000.0</v>
      </c>
      <c r="G62" s="24">
        <v>5000.0</v>
      </c>
      <c r="H62" s="24">
        <v>5000.0</v>
      </c>
      <c r="I62" s="24">
        <v>5000.0</v>
      </c>
      <c r="J62" s="24"/>
      <c r="K62" s="24"/>
      <c r="L62" s="24"/>
      <c r="M62" s="24"/>
      <c r="N62" s="24"/>
    </row>
    <row r="63">
      <c r="B63" s="1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</row>
    <row r="65">
      <c r="B65" s="32" t="s">
        <v>147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8"/>
    </row>
    <row r="66">
      <c r="B66" s="16" t="s">
        <v>44</v>
      </c>
      <c r="C66" s="6" t="s">
        <v>45</v>
      </c>
      <c r="D66" s="7"/>
      <c r="E66" s="8"/>
      <c r="F66" s="6" t="s">
        <v>46</v>
      </c>
      <c r="G66" s="7"/>
      <c r="H66" s="8"/>
      <c r="I66" s="6" t="s">
        <v>47</v>
      </c>
      <c r="J66" s="7"/>
      <c r="K66" s="8"/>
      <c r="L66" s="6" t="s">
        <v>48</v>
      </c>
      <c r="M66" s="7"/>
      <c r="N66" s="8"/>
    </row>
    <row r="67">
      <c r="B67" s="16" t="s">
        <v>49</v>
      </c>
      <c r="C67" s="10" t="s">
        <v>50</v>
      </c>
      <c r="D67" s="10" t="s">
        <v>51</v>
      </c>
      <c r="E67" s="10" t="s">
        <v>52</v>
      </c>
      <c r="F67" s="10" t="s">
        <v>53</v>
      </c>
      <c r="G67" s="10" t="s">
        <v>54</v>
      </c>
      <c r="H67" s="10" t="s">
        <v>55</v>
      </c>
      <c r="I67" s="10" t="s">
        <v>56</v>
      </c>
      <c r="J67" s="10" t="s">
        <v>57</v>
      </c>
      <c r="K67" s="10" t="s">
        <v>58</v>
      </c>
      <c r="L67" s="10" t="s">
        <v>59</v>
      </c>
      <c r="M67" s="10" t="s">
        <v>60</v>
      </c>
      <c r="N67" s="10" t="s">
        <v>61</v>
      </c>
    </row>
    <row r="68">
      <c r="B68" s="9" t="s">
        <v>148</v>
      </c>
      <c r="C68" s="20">
        <f t="shared" ref="C68:N68" si="16">SUM(C69:C77)</f>
        <v>13336</v>
      </c>
      <c r="D68" s="20">
        <f t="shared" si="16"/>
        <v>13336</v>
      </c>
      <c r="E68" s="20">
        <f t="shared" si="16"/>
        <v>13336</v>
      </c>
      <c r="F68" s="20">
        <f t="shared" si="16"/>
        <v>13836</v>
      </c>
      <c r="G68" s="20">
        <f t="shared" si="16"/>
        <v>13836</v>
      </c>
      <c r="H68" s="20">
        <f t="shared" si="16"/>
        <v>13836</v>
      </c>
      <c r="I68" s="20">
        <f t="shared" si="16"/>
        <v>14336</v>
      </c>
      <c r="J68" s="20">
        <f t="shared" si="16"/>
        <v>14336</v>
      </c>
      <c r="K68" s="20">
        <f t="shared" si="16"/>
        <v>14336</v>
      </c>
      <c r="L68" s="20">
        <f t="shared" si="16"/>
        <v>14836</v>
      </c>
      <c r="M68" s="20">
        <f t="shared" si="16"/>
        <v>14836</v>
      </c>
      <c r="N68" s="20">
        <f t="shared" si="16"/>
        <v>14836</v>
      </c>
    </row>
    <row r="69">
      <c r="B69" s="16" t="s">
        <v>149</v>
      </c>
      <c r="C69" s="24">
        <v>1500.0</v>
      </c>
      <c r="D69" s="24">
        <v>1500.0</v>
      </c>
      <c r="E69" s="24">
        <v>1500.0</v>
      </c>
      <c r="F69" s="24">
        <v>2000.0</v>
      </c>
      <c r="G69" s="24">
        <v>2000.0</v>
      </c>
      <c r="H69" s="24">
        <v>2000.0</v>
      </c>
      <c r="I69" s="24">
        <v>2500.0</v>
      </c>
      <c r="J69" s="24">
        <v>2500.0</v>
      </c>
      <c r="K69" s="24">
        <v>2500.0</v>
      </c>
      <c r="L69" s="24">
        <v>3000.0</v>
      </c>
      <c r="M69" s="24">
        <v>3000.0</v>
      </c>
      <c r="N69" s="24">
        <v>3000.0</v>
      </c>
    </row>
    <row r="70">
      <c r="B70" s="16" t="s">
        <v>150</v>
      </c>
      <c r="C70" s="24">
        <v>2500.0</v>
      </c>
      <c r="D70" s="24">
        <v>2500.0</v>
      </c>
      <c r="E70" s="24">
        <v>2500.0</v>
      </c>
      <c r="F70" s="24">
        <v>2500.0</v>
      </c>
      <c r="G70" s="24">
        <v>2500.0</v>
      </c>
      <c r="H70" s="24">
        <v>2500.0</v>
      </c>
      <c r="I70" s="24">
        <v>2500.0</v>
      </c>
      <c r="J70" s="24">
        <v>2500.0</v>
      </c>
      <c r="K70" s="24">
        <v>2500.0</v>
      </c>
      <c r="L70" s="24">
        <v>2500.0</v>
      </c>
      <c r="M70" s="24">
        <v>2500.0</v>
      </c>
      <c r="N70" s="24">
        <v>2500.0</v>
      </c>
    </row>
    <row r="71">
      <c r="B71" s="16" t="s">
        <v>151</v>
      </c>
      <c r="C71" s="24">
        <f t="shared" ref="C71:N71" si="17">3840+1496</f>
        <v>5336</v>
      </c>
      <c r="D71" s="24">
        <f t="shared" si="17"/>
        <v>5336</v>
      </c>
      <c r="E71" s="24">
        <f t="shared" si="17"/>
        <v>5336</v>
      </c>
      <c r="F71" s="24">
        <f t="shared" si="17"/>
        <v>5336</v>
      </c>
      <c r="G71" s="24">
        <f t="shared" si="17"/>
        <v>5336</v>
      </c>
      <c r="H71" s="24">
        <f t="shared" si="17"/>
        <v>5336</v>
      </c>
      <c r="I71" s="24">
        <f t="shared" si="17"/>
        <v>5336</v>
      </c>
      <c r="J71" s="24">
        <f t="shared" si="17"/>
        <v>5336</v>
      </c>
      <c r="K71" s="24">
        <f t="shared" si="17"/>
        <v>5336</v>
      </c>
      <c r="L71" s="24">
        <f t="shared" si="17"/>
        <v>5336</v>
      </c>
      <c r="M71" s="24">
        <f t="shared" si="17"/>
        <v>5336</v>
      </c>
      <c r="N71" s="24">
        <f t="shared" si="17"/>
        <v>5336</v>
      </c>
    </row>
    <row r="72">
      <c r="B72" s="16" t="s">
        <v>152</v>
      </c>
      <c r="C72" s="24">
        <v>3000.0</v>
      </c>
      <c r="D72" s="24">
        <v>3000.0</v>
      </c>
      <c r="E72" s="24">
        <v>3000.0</v>
      </c>
      <c r="F72" s="24">
        <v>3000.0</v>
      </c>
      <c r="G72" s="24">
        <v>3000.0</v>
      </c>
      <c r="H72" s="24">
        <v>3000.0</v>
      </c>
      <c r="I72" s="24">
        <v>3000.0</v>
      </c>
      <c r="J72" s="24">
        <v>3000.0</v>
      </c>
      <c r="K72" s="24">
        <v>3000.0</v>
      </c>
      <c r="L72" s="24">
        <v>3000.0</v>
      </c>
      <c r="M72" s="24">
        <v>3000.0</v>
      </c>
      <c r="N72" s="24">
        <v>3000.0</v>
      </c>
    </row>
    <row r="73">
      <c r="B73" s="16" t="s">
        <v>153</v>
      </c>
      <c r="C73" s="24">
        <v>1000.0</v>
      </c>
      <c r="D73" s="24">
        <v>1000.0</v>
      </c>
      <c r="E73" s="24">
        <v>1000.0</v>
      </c>
      <c r="F73" s="24">
        <v>1000.0</v>
      </c>
      <c r="G73" s="24">
        <v>1000.0</v>
      </c>
      <c r="H73" s="24">
        <v>1000.0</v>
      </c>
      <c r="I73" s="24">
        <v>1000.0</v>
      </c>
      <c r="J73" s="24">
        <v>1000.0</v>
      </c>
      <c r="K73" s="24">
        <v>1000.0</v>
      </c>
      <c r="L73" s="24">
        <v>1000.0</v>
      </c>
      <c r="M73" s="24">
        <v>1000.0</v>
      </c>
      <c r="N73" s="24">
        <v>1000.0</v>
      </c>
    </row>
    <row r="74">
      <c r="B74" s="16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</row>
    <row r="75">
      <c r="B75" s="16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</row>
    <row r="76">
      <c r="B76" s="16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</row>
    <row r="77">
      <c r="B77" s="16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</row>
  </sheetData>
  <mergeCells count="30">
    <mergeCell ref="F17:H17"/>
    <mergeCell ref="I17:K17"/>
    <mergeCell ref="B2:N2"/>
    <mergeCell ref="C3:E3"/>
    <mergeCell ref="F3:H3"/>
    <mergeCell ref="I3:K3"/>
    <mergeCell ref="L3:N3"/>
    <mergeCell ref="B16:N16"/>
    <mergeCell ref="C17:E17"/>
    <mergeCell ref="L17:N17"/>
    <mergeCell ref="B24:N24"/>
    <mergeCell ref="C25:E25"/>
    <mergeCell ref="F25:H25"/>
    <mergeCell ref="I25:K25"/>
    <mergeCell ref="L25:N25"/>
    <mergeCell ref="B39:N39"/>
    <mergeCell ref="I55:K55"/>
    <mergeCell ref="L55:N55"/>
    <mergeCell ref="B65:N65"/>
    <mergeCell ref="C66:E66"/>
    <mergeCell ref="F66:H66"/>
    <mergeCell ref="I66:K66"/>
    <mergeCell ref="L66:N66"/>
    <mergeCell ref="C40:E40"/>
    <mergeCell ref="F40:H40"/>
    <mergeCell ref="I40:K40"/>
    <mergeCell ref="L40:N40"/>
    <mergeCell ref="B54:N54"/>
    <mergeCell ref="C55:E55"/>
    <mergeCell ref="F55:H55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4.5"/>
    <col customWidth="1" min="3" max="3" width="27.13"/>
  </cols>
  <sheetData>
    <row r="1" ht="12.0" customHeight="1"/>
    <row r="2">
      <c r="B2" s="15"/>
      <c r="C2" s="14" t="s">
        <v>154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>
      <c r="C3" s="9" t="s">
        <v>49</v>
      </c>
      <c r="D3" s="17" t="s">
        <v>50</v>
      </c>
      <c r="E3" s="17" t="s">
        <v>51</v>
      </c>
      <c r="F3" s="17" t="s">
        <v>52</v>
      </c>
      <c r="G3" s="17" t="s">
        <v>53</v>
      </c>
      <c r="H3" s="17" t="s">
        <v>54</v>
      </c>
      <c r="I3" s="17" t="s">
        <v>55</v>
      </c>
      <c r="J3" s="17" t="s">
        <v>56</v>
      </c>
      <c r="K3" s="17" t="s">
        <v>57</v>
      </c>
      <c r="L3" s="17" t="s">
        <v>58</v>
      </c>
      <c r="M3" s="17" t="s">
        <v>59</v>
      </c>
      <c r="N3" s="17" t="s">
        <v>60</v>
      </c>
      <c r="O3" s="17" t="s">
        <v>61</v>
      </c>
    </row>
    <row r="4">
      <c r="C4" s="9" t="s">
        <v>155</v>
      </c>
      <c r="D4" s="20">
        <f t="shared" ref="D4:O4" si="1">D24+D96+D152+D213+D236+D124+D182+D64+D265+D295+D322+D342</f>
        <v>390210</v>
      </c>
      <c r="E4" s="20">
        <f t="shared" si="1"/>
        <v>405289.6</v>
      </c>
      <c r="F4" s="20">
        <f t="shared" si="1"/>
        <v>433909.536</v>
      </c>
      <c r="G4" s="20">
        <f t="shared" si="1"/>
        <v>473038.6778</v>
      </c>
      <c r="H4" s="20">
        <f t="shared" si="1"/>
        <v>494658.1968</v>
      </c>
      <c r="I4" s="20">
        <f t="shared" si="1"/>
        <v>517586.9591</v>
      </c>
      <c r="J4" s="20">
        <f t="shared" si="1"/>
        <v>577042.1327</v>
      </c>
      <c r="K4" s="20">
        <f t="shared" si="1"/>
        <v>601503.3408</v>
      </c>
      <c r="L4" s="20">
        <f t="shared" si="1"/>
        <v>623788.0401</v>
      </c>
      <c r="M4" s="20">
        <f t="shared" si="1"/>
        <v>665862.1165</v>
      </c>
      <c r="N4" s="20">
        <f t="shared" si="1"/>
        <v>678454.026</v>
      </c>
      <c r="O4" s="20">
        <f t="shared" si="1"/>
        <v>695130.1637</v>
      </c>
    </row>
    <row r="5">
      <c r="C5" s="9" t="s">
        <v>156</v>
      </c>
      <c r="D5" s="31">
        <f t="shared" ref="D5:O5" si="2">D15+D144+D205+D228+D88+D228+D117+D175+D57+D258+D313</f>
        <v>81</v>
      </c>
      <c r="E5" s="31">
        <f t="shared" si="2"/>
        <v>83</v>
      </c>
      <c r="F5" s="31">
        <f t="shared" si="2"/>
        <v>89</v>
      </c>
      <c r="G5" s="31">
        <f t="shared" si="2"/>
        <v>93</v>
      </c>
      <c r="H5" s="31">
        <f t="shared" si="2"/>
        <v>96</v>
      </c>
      <c r="I5" s="31">
        <f t="shared" si="2"/>
        <v>100</v>
      </c>
      <c r="J5" s="31">
        <f t="shared" si="2"/>
        <v>106</v>
      </c>
      <c r="K5" s="31">
        <f t="shared" si="2"/>
        <v>110</v>
      </c>
      <c r="L5" s="31">
        <f t="shared" si="2"/>
        <v>112</v>
      </c>
      <c r="M5" s="31">
        <f t="shared" si="2"/>
        <v>117</v>
      </c>
      <c r="N5" s="31">
        <f t="shared" si="2"/>
        <v>120</v>
      </c>
      <c r="O5" s="31">
        <f t="shared" si="2"/>
        <v>122</v>
      </c>
    </row>
    <row r="6">
      <c r="C6" s="9" t="s">
        <v>157</v>
      </c>
      <c r="D6" s="31">
        <f t="shared" ref="D6:O6" si="3">D286</f>
        <v>6</v>
      </c>
      <c r="E6" s="31">
        <f t="shared" si="3"/>
        <v>6</v>
      </c>
      <c r="F6" s="31">
        <f t="shared" si="3"/>
        <v>7</v>
      </c>
      <c r="G6" s="31">
        <f t="shared" si="3"/>
        <v>7</v>
      </c>
      <c r="H6" s="31">
        <f t="shared" si="3"/>
        <v>8</v>
      </c>
      <c r="I6" s="31">
        <f t="shared" si="3"/>
        <v>8</v>
      </c>
      <c r="J6" s="31">
        <f t="shared" si="3"/>
        <v>9</v>
      </c>
      <c r="K6" s="31">
        <f t="shared" si="3"/>
        <v>9</v>
      </c>
      <c r="L6" s="31">
        <f t="shared" si="3"/>
        <v>10</v>
      </c>
      <c r="M6" s="31">
        <f t="shared" si="3"/>
        <v>10</v>
      </c>
      <c r="N6" s="31">
        <f t="shared" si="3"/>
        <v>10</v>
      </c>
      <c r="O6" s="31">
        <f t="shared" si="3"/>
        <v>10</v>
      </c>
    </row>
    <row r="7">
      <c r="C7" s="9" t="s">
        <v>101</v>
      </c>
      <c r="D7" s="31">
        <f t="shared" ref="D7:O7" si="4">D5+D6</f>
        <v>87</v>
      </c>
      <c r="E7" s="31">
        <f t="shared" si="4"/>
        <v>89</v>
      </c>
      <c r="F7" s="31">
        <f t="shared" si="4"/>
        <v>96</v>
      </c>
      <c r="G7" s="31">
        <f t="shared" si="4"/>
        <v>100</v>
      </c>
      <c r="H7" s="31">
        <f t="shared" si="4"/>
        <v>104</v>
      </c>
      <c r="I7" s="31">
        <f t="shared" si="4"/>
        <v>108</v>
      </c>
      <c r="J7" s="31">
        <f t="shared" si="4"/>
        <v>115</v>
      </c>
      <c r="K7" s="31">
        <f t="shared" si="4"/>
        <v>119</v>
      </c>
      <c r="L7" s="31">
        <f t="shared" si="4"/>
        <v>122</v>
      </c>
      <c r="M7" s="31">
        <f t="shared" si="4"/>
        <v>127</v>
      </c>
      <c r="N7" s="31">
        <f t="shared" si="4"/>
        <v>130</v>
      </c>
      <c r="O7" s="31">
        <f t="shared" si="4"/>
        <v>132</v>
      </c>
    </row>
    <row r="9">
      <c r="B9" s="38" t="s">
        <v>158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</row>
    <row r="10">
      <c r="B10" s="16" t="s">
        <v>49</v>
      </c>
      <c r="C10" s="10" t="s">
        <v>61</v>
      </c>
      <c r="D10" s="10" t="s">
        <v>50</v>
      </c>
      <c r="E10" s="10" t="s">
        <v>51</v>
      </c>
      <c r="F10" s="10" t="s">
        <v>52</v>
      </c>
      <c r="G10" s="10" t="s">
        <v>53</v>
      </c>
      <c r="H10" s="10" t="s">
        <v>54</v>
      </c>
      <c r="I10" s="10" t="s">
        <v>55</v>
      </c>
      <c r="J10" s="10" t="s">
        <v>56</v>
      </c>
      <c r="K10" s="10" t="s">
        <v>57</v>
      </c>
      <c r="L10" s="10" t="s">
        <v>58</v>
      </c>
      <c r="M10" s="10" t="s">
        <v>59</v>
      </c>
      <c r="N10" s="10" t="s">
        <v>60</v>
      </c>
      <c r="O10" s="10" t="s">
        <v>61</v>
      </c>
    </row>
    <row r="11">
      <c r="B11" s="16" t="s">
        <v>159</v>
      </c>
      <c r="C11" s="24">
        <f>Revenue!C7</f>
        <v>475000</v>
      </c>
      <c r="D11" s="24">
        <f>Revenue!D7</f>
        <v>492250</v>
      </c>
      <c r="E11" s="24">
        <f>Revenue!E7</f>
        <v>507947.5</v>
      </c>
      <c r="F11" s="24">
        <f>Revenue!F7</f>
        <v>522232.225</v>
      </c>
      <c r="G11" s="24">
        <f>Revenue!G7</f>
        <v>541231.3248</v>
      </c>
      <c r="H11" s="24">
        <f>Revenue!H7</f>
        <v>558520.5055</v>
      </c>
      <c r="I11" s="24">
        <f>Revenue!I7</f>
        <v>574253.66</v>
      </c>
      <c r="J11" s="24">
        <f>Revenue!J7</f>
        <v>594570.8306</v>
      </c>
      <c r="K11" s="24">
        <f>Revenue!K7</f>
        <v>613059.4559</v>
      </c>
      <c r="L11" s="24">
        <f>Revenue!L7</f>
        <v>629884.1048</v>
      </c>
      <c r="M11" s="24">
        <f>Revenue!M7</f>
        <v>651194.5354</v>
      </c>
      <c r="N11" s="24">
        <f>Revenue!N7</f>
        <v>670587.0272</v>
      </c>
      <c r="O11" s="24">
        <f>Revenue!O7</f>
        <v>688234.1948</v>
      </c>
      <c r="P11" s="21">
        <f>SUM(D11:O11)</f>
        <v>7043965.364</v>
      </c>
    </row>
    <row r="12">
      <c r="B12" s="16" t="s">
        <v>160</v>
      </c>
      <c r="C12" s="31">
        <f>Revenue!C9</f>
        <v>170</v>
      </c>
      <c r="D12" s="31">
        <f>Revenue!D9</f>
        <v>174.817757</v>
      </c>
      <c r="E12" s="31">
        <f>Revenue!E9</f>
        <v>179.189122</v>
      </c>
      <c r="F12" s="31">
        <f>Revenue!F9</f>
        <v>183.1559755</v>
      </c>
      <c r="G12" s="31">
        <f>Revenue!G9</f>
        <v>188.7636135</v>
      </c>
      <c r="H12" s="31">
        <f>Revenue!H9</f>
        <v>193.8565999</v>
      </c>
      <c r="I12" s="31">
        <f>Revenue!I9</f>
        <v>198.4825821</v>
      </c>
      <c r="J12" s="31">
        <f>Revenue!J9</f>
        <v>204.6899876</v>
      </c>
      <c r="K12" s="31">
        <f>Revenue!K9</f>
        <v>210.331075</v>
      </c>
      <c r="L12" s="31">
        <f>Revenue!L9</f>
        <v>215.4578236</v>
      </c>
      <c r="M12" s="31">
        <f>Revenue!M9</f>
        <v>222.1211272</v>
      </c>
      <c r="N12" s="31">
        <f>Revenue!N9</f>
        <v>228.1789029</v>
      </c>
      <c r="O12" s="31">
        <f>Revenue!O9</f>
        <v>233.6864068</v>
      </c>
    </row>
    <row r="13">
      <c r="B13" s="16" t="s">
        <v>161</v>
      </c>
      <c r="C13" s="29">
        <v>12.0</v>
      </c>
      <c r="D13" s="29">
        <v>12.0</v>
      </c>
      <c r="E13" s="29">
        <v>12.0</v>
      </c>
      <c r="F13" s="29">
        <v>12.0</v>
      </c>
      <c r="G13" s="29">
        <v>12.0</v>
      </c>
      <c r="H13" s="29">
        <v>12.0</v>
      </c>
      <c r="I13" s="29">
        <v>12.0</v>
      </c>
      <c r="J13" s="29">
        <v>12.0</v>
      </c>
      <c r="K13" s="29">
        <v>12.0</v>
      </c>
      <c r="L13" s="29">
        <v>12.0</v>
      </c>
      <c r="M13" s="29">
        <v>12.0</v>
      </c>
      <c r="N13" s="29">
        <v>12.0</v>
      </c>
      <c r="O13" s="29">
        <v>12.0</v>
      </c>
    </row>
    <row r="14">
      <c r="B14" s="16" t="s">
        <v>162</v>
      </c>
      <c r="C14" s="29">
        <f t="shared" ref="C14:O14" si="5">C12/C13</f>
        <v>14.16666667</v>
      </c>
      <c r="D14" s="29">
        <f t="shared" si="5"/>
        <v>14.56814642</v>
      </c>
      <c r="E14" s="29">
        <f t="shared" si="5"/>
        <v>14.93242683</v>
      </c>
      <c r="F14" s="29">
        <f t="shared" si="5"/>
        <v>15.26299796</v>
      </c>
      <c r="G14" s="29">
        <f t="shared" si="5"/>
        <v>15.73030113</v>
      </c>
      <c r="H14" s="29">
        <f t="shared" si="5"/>
        <v>16.15471666</v>
      </c>
      <c r="I14" s="29">
        <f t="shared" si="5"/>
        <v>16.54021518</v>
      </c>
      <c r="J14" s="29">
        <f t="shared" si="5"/>
        <v>17.05749897</v>
      </c>
      <c r="K14" s="29">
        <f t="shared" si="5"/>
        <v>17.52758958</v>
      </c>
      <c r="L14" s="29">
        <f t="shared" si="5"/>
        <v>17.95481864</v>
      </c>
      <c r="M14" s="29">
        <f t="shared" si="5"/>
        <v>18.51009393</v>
      </c>
      <c r="N14" s="29">
        <f t="shared" si="5"/>
        <v>19.01490857</v>
      </c>
      <c r="O14" s="29">
        <f t="shared" si="5"/>
        <v>19.47386723</v>
      </c>
    </row>
    <row r="15">
      <c r="B15" s="16" t="s">
        <v>163</v>
      </c>
      <c r="C15" s="10">
        <v>15.0</v>
      </c>
      <c r="D15" s="31">
        <f t="shared" ref="D15:O15" si="6">count(D25:D50)</f>
        <v>18</v>
      </c>
      <c r="E15" s="31">
        <f t="shared" si="6"/>
        <v>19</v>
      </c>
      <c r="F15" s="31">
        <f t="shared" si="6"/>
        <v>20</v>
      </c>
      <c r="G15" s="31">
        <f t="shared" si="6"/>
        <v>20</v>
      </c>
      <c r="H15" s="31">
        <f t="shared" si="6"/>
        <v>21</v>
      </c>
      <c r="I15" s="31">
        <f t="shared" si="6"/>
        <v>21</v>
      </c>
      <c r="J15" s="31">
        <f t="shared" si="6"/>
        <v>22</v>
      </c>
      <c r="K15" s="31">
        <f t="shared" si="6"/>
        <v>22</v>
      </c>
      <c r="L15" s="31">
        <f t="shared" si="6"/>
        <v>23</v>
      </c>
      <c r="M15" s="31">
        <f t="shared" si="6"/>
        <v>24</v>
      </c>
      <c r="N15" s="31">
        <f t="shared" si="6"/>
        <v>24</v>
      </c>
      <c r="O15" s="31">
        <f t="shared" si="6"/>
        <v>25</v>
      </c>
    </row>
    <row r="16">
      <c r="B16" s="16" t="s">
        <v>164</v>
      </c>
      <c r="C16" s="31">
        <f t="shared" ref="C16:O16" si="7">C14-C15</f>
        <v>-0.8333333333</v>
      </c>
      <c r="D16" s="39">
        <f t="shared" si="7"/>
        <v>-3.431853583</v>
      </c>
      <c r="E16" s="39">
        <f t="shared" si="7"/>
        <v>-4.067573166</v>
      </c>
      <c r="F16" s="39">
        <f t="shared" si="7"/>
        <v>-4.737002044</v>
      </c>
      <c r="G16" s="39">
        <f t="shared" si="7"/>
        <v>-4.269698872</v>
      </c>
      <c r="H16" s="39">
        <f t="shared" si="7"/>
        <v>-4.845283341</v>
      </c>
      <c r="I16" s="39">
        <f t="shared" si="7"/>
        <v>-4.459784821</v>
      </c>
      <c r="J16" s="39">
        <f t="shared" si="7"/>
        <v>-4.942501032</v>
      </c>
      <c r="K16" s="39">
        <f t="shared" si="7"/>
        <v>-4.472410417</v>
      </c>
      <c r="L16" s="39">
        <f t="shared" si="7"/>
        <v>-5.045181365</v>
      </c>
      <c r="M16" s="39">
        <f t="shared" si="7"/>
        <v>-5.489906069</v>
      </c>
      <c r="N16" s="39">
        <f t="shared" si="7"/>
        <v>-4.985091428</v>
      </c>
      <c r="O16" s="39">
        <f t="shared" si="7"/>
        <v>-5.52613277</v>
      </c>
    </row>
    <row r="17">
      <c r="B17" s="16" t="s">
        <v>165</v>
      </c>
      <c r="C17" s="30">
        <f t="shared" ref="C17:O17" si="8">C12/C15</f>
        <v>11.33333333</v>
      </c>
      <c r="D17" s="31">
        <f t="shared" si="8"/>
        <v>9.712097612</v>
      </c>
      <c r="E17" s="31">
        <f t="shared" si="8"/>
        <v>9.431006421</v>
      </c>
      <c r="F17" s="31">
        <f t="shared" si="8"/>
        <v>9.157798774</v>
      </c>
      <c r="G17" s="31">
        <f t="shared" si="8"/>
        <v>9.438180677</v>
      </c>
      <c r="H17" s="31">
        <f t="shared" si="8"/>
        <v>9.231266662</v>
      </c>
      <c r="I17" s="31">
        <f t="shared" si="8"/>
        <v>9.451551531</v>
      </c>
      <c r="J17" s="31">
        <f t="shared" si="8"/>
        <v>9.304090346</v>
      </c>
      <c r="K17" s="31">
        <f t="shared" si="8"/>
        <v>9.560503409</v>
      </c>
      <c r="L17" s="31">
        <f t="shared" si="8"/>
        <v>9.367731462</v>
      </c>
      <c r="M17" s="31">
        <f t="shared" si="8"/>
        <v>9.255046965</v>
      </c>
      <c r="N17" s="31">
        <f t="shared" si="8"/>
        <v>9.507454286</v>
      </c>
      <c r="O17" s="31">
        <f t="shared" si="8"/>
        <v>9.34745627</v>
      </c>
    </row>
    <row r="18">
      <c r="B18" s="16" t="s">
        <v>166</v>
      </c>
      <c r="C18" s="23">
        <f t="shared" ref="C18:O18" si="9">C11/C15</f>
        <v>31666.66667</v>
      </c>
      <c r="D18" s="31">
        <f t="shared" si="9"/>
        <v>27347.22222</v>
      </c>
      <c r="E18" s="31">
        <f t="shared" si="9"/>
        <v>26734.07895</v>
      </c>
      <c r="F18" s="31">
        <f t="shared" si="9"/>
        <v>26111.61125</v>
      </c>
      <c r="G18" s="31">
        <f t="shared" si="9"/>
        <v>27061.56624</v>
      </c>
      <c r="H18" s="31">
        <f t="shared" si="9"/>
        <v>26596.21455</v>
      </c>
      <c r="I18" s="31">
        <f t="shared" si="9"/>
        <v>27345.41238</v>
      </c>
      <c r="J18" s="31">
        <f t="shared" si="9"/>
        <v>27025.94685</v>
      </c>
      <c r="K18" s="31">
        <f t="shared" si="9"/>
        <v>27866.3389</v>
      </c>
      <c r="L18" s="31">
        <f t="shared" si="9"/>
        <v>27386.26543</v>
      </c>
      <c r="M18" s="31">
        <f t="shared" si="9"/>
        <v>27133.10564</v>
      </c>
      <c r="N18" s="31">
        <f t="shared" si="9"/>
        <v>27941.12613</v>
      </c>
      <c r="O18" s="31">
        <f t="shared" si="9"/>
        <v>27529.36779</v>
      </c>
      <c r="P18" s="26"/>
    </row>
    <row r="19">
      <c r="B19" s="16" t="s">
        <v>100</v>
      </c>
      <c r="C19" s="36"/>
      <c r="D19" s="25">
        <f t="shared" ref="D19:O19" si="10">(D24+D64)/D11</f>
        <v>0.2024377857</v>
      </c>
      <c r="E19" s="25">
        <f t="shared" si="10"/>
        <v>0.2104548206</v>
      </c>
      <c r="F19" s="25">
        <f t="shared" si="10"/>
        <v>0.2161873485</v>
      </c>
      <c r="G19" s="25">
        <f t="shared" si="10"/>
        <v>0.2261509902</v>
      </c>
      <c r="H19" s="25">
        <f t="shared" si="10"/>
        <v>0.2307883036</v>
      </c>
      <c r="I19" s="25">
        <f t="shared" si="10"/>
        <v>0.2279480465</v>
      </c>
      <c r="J19" s="25">
        <f t="shared" si="10"/>
        <v>0.2403414238</v>
      </c>
      <c r="K19" s="25">
        <f t="shared" si="10"/>
        <v>0.2469581026</v>
      </c>
      <c r="L19" s="25">
        <f t="shared" si="10"/>
        <v>0.2498872392</v>
      </c>
      <c r="M19" s="25">
        <f t="shared" si="10"/>
        <v>0.2593694984</v>
      </c>
      <c r="N19" s="25">
        <f t="shared" si="10"/>
        <v>0.2548513363</v>
      </c>
      <c r="O19" s="25">
        <f t="shared" si="10"/>
        <v>0.2650260644</v>
      </c>
      <c r="P19" s="12"/>
    </row>
    <row r="20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>
      <c r="C21" s="38" t="s">
        <v>167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>
      <c r="C22" s="9" t="s">
        <v>44</v>
      </c>
      <c r="D22" s="40" t="s">
        <v>45</v>
      </c>
      <c r="E22" s="7"/>
      <c r="F22" s="8"/>
      <c r="G22" s="40" t="s">
        <v>46</v>
      </c>
      <c r="H22" s="7"/>
      <c r="I22" s="8"/>
      <c r="J22" s="40" t="s">
        <v>47</v>
      </c>
      <c r="K22" s="7"/>
      <c r="L22" s="8"/>
      <c r="M22" s="40" t="s">
        <v>48</v>
      </c>
      <c r="N22" s="7"/>
      <c r="O22" s="8"/>
    </row>
    <row r="23">
      <c r="C23" s="9" t="s">
        <v>49</v>
      </c>
      <c r="D23" s="17" t="s">
        <v>50</v>
      </c>
      <c r="E23" s="17" t="s">
        <v>51</v>
      </c>
      <c r="F23" s="17" t="s">
        <v>52</v>
      </c>
      <c r="G23" s="17" t="s">
        <v>53</v>
      </c>
      <c r="H23" s="17" t="s">
        <v>54</v>
      </c>
      <c r="I23" s="17" t="s">
        <v>55</v>
      </c>
      <c r="J23" s="17" t="s">
        <v>56</v>
      </c>
      <c r="K23" s="17" t="s">
        <v>57</v>
      </c>
      <c r="L23" s="17" t="s">
        <v>58</v>
      </c>
      <c r="M23" s="17" t="s">
        <v>59</v>
      </c>
      <c r="N23" s="17" t="s">
        <v>60</v>
      </c>
      <c r="O23" s="17" t="s">
        <v>61</v>
      </c>
      <c r="P23" s="26">
        <f>O24/O11</f>
        <v>0.1956456117</v>
      </c>
    </row>
    <row r="24">
      <c r="C24" s="9" t="s">
        <v>168</v>
      </c>
      <c r="D24" s="20">
        <f t="shared" ref="D24:O24" si="11">SUM(D25:D50)</f>
        <v>71150</v>
      </c>
      <c r="E24" s="20">
        <f t="shared" si="11"/>
        <v>77650</v>
      </c>
      <c r="F24" s="20">
        <f t="shared" si="11"/>
        <v>83650</v>
      </c>
      <c r="G24" s="20">
        <f t="shared" si="11"/>
        <v>89150</v>
      </c>
      <c r="H24" s="20">
        <f t="shared" si="11"/>
        <v>95650</v>
      </c>
      <c r="I24" s="20">
        <f t="shared" si="11"/>
        <v>97650</v>
      </c>
      <c r="J24" s="20">
        <f t="shared" si="11"/>
        <v>108150</v>
      </c>
      <c r="K24" s="20">
        <f t="shared" si="11"/>
        <v>110150</v>
      </c>
      <c r="L24" s="20">
        <f t="shared" si="11"/>
        <v>116150</v>
      </c>
      <c r="M24" s="20">
        <f t="shared" si="11"/>
        <v>127150</v>
      </c>
      <c r="N24" s="20">
        <f t="shared" si="11"/>
        <v>129150</v>
      </c>
      <c r="O24" s="20">
        <f t="shared" si="11"/>
        <v>134650</v>
      </c>
      <c r="P24" s="21">
        <f>SUM(D24:O24)</f>
        <v>1240300</v>
      </c>
    </row>
    <row r="25">
      <c r="C25" s="41" t="s">
        <v>169</v>
      </c>
      <c r="D25" s="42">
        <v>1500.0</v>
      </c>
      <c r="E25" s="42">
        <v>2000.0</v>
      </c>
      <c r="F25" s="42">
        <v>2000.0</v>
      </c>
      <c r="G25" s="42">
        <v>2000.0</v>
      </c>
      <c r="H25" s="42">
        <v>2500.0</v>
      </c>
      <c r="I25" s="42">
        <v>2500.0</v>
      </c>
      <c r="J25" s="42">
        <v>2500.0</v>
      </c>
      <c r="K25" s="42">
        <v>3000.0</v>
      </c>
      <c r="L25" s="42">
        <v>3000.0</v>
      </c>
      <c r="M25" s="42">
        <v>3000.0</v>
      </c>
      <c r="N25" s="42">
        <v>3500.0</v>
      </c>
      <c r="O25" s="42">
        <v>3500.0</v>
      </c>
    </row>
    <row r="26">
      <c r="C26" s="41" t="s">
        <v>170</v>
      </c>
      <c r="D26" s="42">
        <v>3000.0</v>
      </c>
      <c r="E26" s="42">
        <v>3000.0</v>
      </c>
      <c r="F26" s="42">
        <v>3000.0</v>
      </c>
      <c r="G26" s="42">
        <v>3500.0</v>
      </c>
      <c r="H26" s="42">
        <v>3500.0</v>
      </c>
      <c r="I26" s="42">
        <v>3500.0</v>
      </c>
      <c r="J26" s="42">
        <v>4000.0</v>
      </c>
      <c r="K26" s="42">
        <v>4000.0</v>
      </c>
      <c r="L26" s="42">
        <v>4000.0</v>
      </c>
      <c r="M26" s="42">
        <v>4500.0</v>
      </c>
      <c r="N26" s="42">
        <v>4500.0</v>
      </c>
      <c r="O26" s="42">
        <v>4500.0</v>
      </c>
    </row>
    <row r="27">
      <c r="C27" s="41" t="s">
        <v>171</v>
      </c>
      <c r="D27" s="42">
        <v>3000.0</v>
      </c>
      <c r="E27" s="42">
        <v>3000.0</v>
      </c>
      <c r="F27" s="42">
        <v>3500.0</v>
      </c>
      <c r="G27" s="42">
        <v>3500.0</v>
      </c>
      <c r="H27" s="42">
        <v>3500.0</v>
      </c>
      <c r="I27" s="42">
        <v>4000.0</v>
      </c>
      <c r="J27" s="42">
        <v>4000.0</v>
      </c>
      <c r="K27" s="42">
        <v>4000.0</v>
      </c>
      <c r="L27" s="42">
        <v>4500.0</v>
      </c>
      <c r="M27" s="42">
        <v>4500.0</v>
      </c>
      <c r="N27" s="42">
        <v>4500.0</v>
      </c>
      <c r="O27" s="42">
        <v>5000.0</v>
      </c>
    </row>
    <row r="28">
      <c r="C28" s="41" t="s">
        <v>172</v>
      </c>
      <c r="D28" s="42">
        <v>3500.0</v>
      </c>
      <c r="E28" s="42">
        <v>4000.0</v>
      </c>
      <c r="F28" s="42">
        <v>4000.0</v>
      </c>
      <c r="G28" s="42">
        <v>4000.0</v>
      </c>
      <c r="H28" s="42">
        <v>4500.0</v>
      </c>
      <c r="I28" s="42">
        <v>4500.0</v>
      </c>
      <c r="J28" s="42">
        <v>4500.0</v>
      </c>
      <c r="K28" s="42">
        <v>5000.0</v>
      </c>
      <c r="L28" s="42">
        <v>5000.0</v>
      </c>
      <c r="M28" s="42">
        <v>5000.0</v>
      </c>
      <c r="N28" s="42">
        <v>5000.0</v>
      </c>
      <c r="O28" s="42">
        <v>5000.0</v>
      </c>
    </row>
    <row r="29">
      <c r="C29" s="41" t="s">
        <v>173</v>
      </c>
      <c r="D29" s="43">
        <v>4250.0</v>
      </c>
      <c r="E29" s="43">
        <v>4250.0</v>
      </c>
      <c r="F29" s="43">
        <v>4250.0</v>
      </c>
      <c r="G29" s="43">
        <v>4750.0</v>
      </c>
      <c r="H29" s="43">
        <v>4750.0</v>
      </c>
      <c r="I29" s="43">
        <v>4750.0</v>
      </c>
      <c r="J29" s="43">
        <v>5250.0</v>
      </c>
      <c r="K29" s="43">
        <v>5250.0</v>
      </c>
      <c r="L29" s="43">
        <v>5250.0</v>
      </c>
      <c r="M29" s="43">
        <v>5250.0</v>
      </c>
      <c r="N29" s="43">
        <v>5750.0</v>
      </c>
      <c r="O29" s="43">
        <v>5750.0</v>
      </c>
    </row>
    <row r="30">
      <c r="C30" s="41" t="s">
        <v>174</v>
      </c>
      <c r="D30" s="42">
        <v>5000.0</v>
      </c>
      <c r="E30" s="42">
        <v>5000.0</v>
      </c>
      <c r="F30" s="42">
        <v>5000.0</v>
      </c>
      <c r="G30" s="42">
        <v>5500.0</v>
      </c>
      <c r="H30" s="42">
        <v>5500.0</v>
      </c>
      <c r="I30" s="42">
        <v>5500.0</v>
      </c>
      <c r="J30" s="42">
        <v>6000.0</v>
      </c>
      <c r="K30" s="42">
        <v>6000.0</v>
      </c>
      <c r="L30" s="42">
        <v>6000.0</v>
      </c>
      <c r="M30" s="42">
        <v>6500.0</v>
      </c>
      <c r="N30" s="42">
        <v>6500.0</v>
      </c>
      <c r="O30" s="42">
        <v>6500.0</v>
      </c>
    </row>
    <row r="31">
      <c r="C31" s="41" t="s">
        <v>175</v>
      </c>
      <c r="D31" s="42">
        <v>4500.0</v>
      </c>
      <c r="E31" s="42">
        <v>5000.0</v>
      </c>
      <c r="F31" s="42">
        <v>5000.0</v>
      </c>
      <c r="G31" s="42">
        <v>5000.0</v>
      </c>
      <c r="H31" s="42">
        <v>5500.0</v>
      </c>
      <c r="I31" s="42">
        <v>5500.0</v>
      </c>
      <c r="J31" s="42">
        <v>5500.0</v>
      </c>
      <c r="K31" s="42">
        <v>6000.0</v>
      </c>
      <c r="L31" s="42">
        <v>6000.0</v>
      </c>
      <c r="M31" s="42">
        <v>6000.0</v>
      </c>
      <c r="N31" s="42">
        <v>6500.0</v>
      </c>
      <c r="O31" s="42">
        <v>6500.0</v>
      </c>
    </row>
    <row r="32">
      <c r="C32" s="41" t="s">
        <v>176</v>
      </c>
      <c r="D32" s="42">
        <v>5000.0</v>
      </c>
      <c r="E32" s="42">
        <v>5000.0</v>
      </c>
      <c r="F32" s="42">
        <v>5000.0</v>
      </c>
      <c r="G32" s="42">
        <v>5500.0</v>
      </c>
      <c r="H32" s="42">
        <v>5500.0</v>
      </c>
      <c r="I32" s="42">
        <v>5500.0</v>
      </c>
      <c r="J32" s="42">
        <v>6000.0</v>
      </c>
      <c r="K32" s="42">
        <v>6000.0</v>
      </c>
      <c r="L32" s="42">
        <v>6000.0</v>
      </c>
      <c r="M32" s="42">
        <v>6500.0</v>
      </c>
      <c r="N32" s="42">
        <v>6500.0</v>
      </c>
      <c r="O32" s="42">
        <v>6500.0</v>
      </c>
    </row>
    <row r="33">
      <c r="C33" s="41" t="s">
        <v>177</v>
      </c>
      <c r="D33" s="42">
        <v>5000.0</v>
      </c>
      <c r="E33" s="42">
        <v>5000.0</v>
      </c>
      <c r="F33" s="42">
        <v>5000.0</v>
      </c>
      <c r="G33" s="42">
        <v>5500.0</v>
      </c>
      <c r="H33" s="42">
        <v>5500.0</v>
      </c>
      <c r="I33" s="42">
        <v>5500.0</v>
      </c>
      <c r="J33" s="42">
        <v>6000.0</v>
      </c>
      <c r="K33" s="42">
        <v>6000.0</v>
      </c>
      <c r="L33" s="42">
        <v>6000.0</v>
      </c>
      <c r="M33" s="42">
        <v>6500.0</v>
      </c>
      <c r="N33" s="42">
        <v>6500.0</v>
      </c>
      <c r="O33" s="42">
        <v>6500.0</v>
      </c>
    </row>
    <row r="34">
      <c r="C34" s="41" t="s">
        <v>178</v>
      </c>
      <c r="D34" s="42">
        <v>5000.0</v>
      </c>
      <c r="E34" s="42">
        <v>5000.0</v>
      </c>
      <c r="F34" s="42">
        <v>5000.0</v>
      </c>
      <c r="G34" s="42">
        <v>5500.0</v>
      </c>
      <c r="H34" s="42">
        <v>5500.0</v>
      </c>
      <c r="I34" s="42">
        <v>5500.0</v>
      </c>
      <c r="J34" s="42">
        <v>6000.0</v>
      </c>
      <c r="K34" s="42">
        <v>6000.0</v>
      </c>
      <c r="L34" s="42">
        <v>6000.0</v>
      </c>
      <c r="M34" s="42">
        <v>6500.0</v>
      </c>
      <c r="N34" s="42">
        <v>6500.0</v>
      </c>
      <c r="O34" s="42">
        <v>6500.0</v>
      </c>
    </row>
    <row r="35">
      <c r="C35" s="41" t="s">
        <v>179</v>
      </c>
      <c r="D35" s="42">
        <v>4000.0</v>
      </c>
      <c r="E35" s="42">
        <v>4000.0</v>
      </c>
      <c r="F35" s="42">
        <v>4000.0</v>
      </c>
      <c r="G35" s="42">
        <v>4500.0</v>
      </c>
      <c r="H35" s="42">
        <v>4500.0</v>
      </c>
      <c r="I35" s="42">
        <v>4500.0</v>
      </c>
      <c r="J35" s="42">
        <v>5000.0</v>
      </c>
      <c r="K35" s="42">
        <v>5000.0</v>
      </c>
      <c r="L35" s="42">
        <v>5000.0</v>
      </c>
      <c r="M35" s="42">
        <v>5000.0</v>
      </c>
      <c r="N35" s="42">
        <v>5000.0</v>
      </c>
      <c r="O35" s="42">
        <v>5000.0</v>
      </c>
    </row>
    <row r="36">
      <c r="C36" s="41" t="s">
        <v>180</v>
      </c>
      <c r="D36" s="42">
        <v>4000.0</v>
      </c>
      <c r="E36" s="42">
        <v>4000.0</v>
      </c>
      <c r="F36" s="42">
        <v>4000.0</v>
      </c>
      <c r="G36" s="42">
        <v>4500.0</v>
      </c>
      <c r="H36" s="42">
        <v>4500.0</v>
      </c>
      <c r="I36" s="42">
        <v>4500.0</v>
      </c>
      <c r="J36" s="42">
        <v>5000.0</v>
      </c>
      <c r="K36" s="42">
        <v>5000.0</v>
      </c>
      <c r="L36" s="42">
        <v>5000.0</v>
      </c>
      <c r="M36" s="42">
        <v>5000.0</v>
      </c>
      <c r="N36" s="42">
        <v>5000.0</v>
      </c>
      <c r="O36" s="42">
        <v>5000.0</v>
      </c>
    </row>
    <row r="37">
      <c r="C37" s="41" t="s">
        <v>181</v>
      </c>
      <c r="D37" s="42">
        <v>4400.0</v>
      </c>
      <c r="E37" s="42">
        <v>4400.0</v>
      </c>
      <c r="F37" s="42">
        <v>4400.0</v>
      </c>
      <c r="G37" s="42">
        <v>4900.0</v>
      </c>
      <c r="H37" s="42">
        <v>4900.0</v>
      </c>
      <c r="I37" s="42">
        <v>4900.0</v>
      </c>
      <c r="J37" s="42">
        <v>5400.0</v>
      </c>
      <c r="K37" s="42">
        <v>5400.0</v>
      </c>
      <c r="L37" s="42">
        <v>5400.0</v>
      </c>
      <c r="M37" s="42">
        <v>5900.0</v>
      </c>
      <c r="N37" s="42">
        <v>5900.0</v>
      </c>
      <c r="O37" s="42">
        <v>5900.0</v>
      </c>
    </row>
    <row r="38">
      <c r="C38" s="41" t="s">
        <v>182</v>
      </c>
      <c r="D38" s="42">
        <v>3000.0</v>
      </c>
      <c r="E38" s="42">
        <v>3000.0</v>
      </c>
      <c r="F38" s="42">
        <v>3000.0</v>
      </c>
      <c r="G38" s="42">
        <v>3500.0</v>
      </c>
      <c r="H38" s="42">
        <v>3500.0</v>
      </c>
      <c r="I38" s="42">
        <v>3500.0</v>
      </c>
      <c r="J38" s="42">
        <v>4000.0</v>
      </c>
      <c r="K38" s="42">
        <v>4000.0</v>
      </c>
      <c r="L38" s="42">
        <v>4000.0</v>
      </c>
      <c r="M38" s="42">
        <v>4500.0</v>
      </c>
      <c r="N38" s="42">
        <v>4500.0</v>
      </c>
      <c r="O38" s="42">
        <v>4500.0</v>
      </c>
    </row>
    <row r="39">
      <c r="C39" s="41" t="s">
        <v>183</v>
      </c>
      <c r="D39" s="42">
        <v>1000.0</v>
      </c>
      <c r="E39" s="42">
        <v>1000.0</v>
      </c>
      <c r="F39" s="42">
        <v>1500.0</v>
      </c>
      <c r="G39" s="42">
        <v>2000.0</v>
      </c>
      <c r="H39" s="42">
        <v>2000.0</v>
      </c>
      <c r="I39" s="42">
        <v>2000.0</v>
      </c>
      <c r="J39" s="42">
        <v>2500.0</v>
      </c>
      <c r="K39" s="42">
        <v>2500.0</v>
      </c>
      <c r="L39" s="42">
        <v>2500.0</v>
      </c>
      <c r="M39" s="42">
        <v>3000.0</v>
      </c>
      <c r="N39" s="42">
        <v>3000.0</v>
      </c>
      <c r="O39" s="42">
        <v>3000.0</v>
      </c>
    </row>
    <row r="40">
      <c r="C40" s="41" t="s">
        <v>184</v>
      </c>
      <c r="D40" s="42">
        <v>5000.0</v>
      </c>
      <c r="E40" s="42">
        <v>5000.0</v>
      </c>
      <c r="F40" s="42">
        <v>5000.0</v>
      </c>
      <c r="G40" s="42">
        <v>5000.0</v>
      </c>
      <c r="H40" s="42">
        <v>5000.0</v>
      </c>
      <c r="I40" s="42">
        <v>5500.0</v>
      </c>
      <c r="J40" s="42">
        <v>5500.0</v>
      </c>
      <c r="K40" s="42">
        <v>5500.0</v>
      </c>
      <c r="L40" s="42">
        <v>5500.0</v>
      </c>
      <c r="M40" s="42">
        <v>6000.0</v>
      </c>
      <c r="N40" s="42">
        <v>6000.0</v>
      </c>
      <c r="O40" s="42">
        <v>6000.0</v>
      </c>
    </row>
    <row r="41">
      <c r="C41" s="41" t="s">
        <v>184</v>
      </c>
      <c r="D41" s="42">
        <v>5000.0</v>
      </c>
      <c r="E41" s="42">
        <v>5000.0</v>
      </c>
      <c r="F41" s="42">
        <v>5000.0</v>
      </c>
      <c r="G41" s="42">
        <v>5000.0</v>
      </c>
      <c r="H41" s="42">
        <v>5000.0</v>
      </c>
      <c r="I41" s="42">
        <v>5500.0</v>
      </c>
      <c r="J41" s="42">
        <v>5500.0</v>
      </c>
      <c r="K41" s="42">
        <v>5500.0</v>
      </c>
      <c r="L41" s="42">
        <v>5500.0</v>
      </c>
      <c r="M41" s="42">
        <v>6000.0</v>
      </c>
      <c r="N41" s="42">
        <v>6000.0</v>
      </c>
      <c r="O41" s="42">
        <v>6000.0</v>
      </c>
    </row>
    <row r="42">
      <c r="C42" s="41" t="s">
        <v>184</v>
      </c>
      <c r="D42" s="42">
        <v>5000.0</v>
      </c>
      <c r="E42" s="42">
        <v>5000.0</v>
      </c>
      <c r="F42" s="42">
        <v>5000.0</v>
      </c>
      <c r="G42" s="42">
        <v>5000.0</v>
      </c>
      <c r="H42" s="42">
        <v>5000.0</v>
      </c>
      <c r="I42" s="42">
        <v>5500.0</v>
      </c>
      <c r="J42" s="42">
        <v>5500.0</v>
      </c>
      <c r="K42" s="42">
        <v>5500.0</v>
      </c>
      <c r="L42" s="42">
        <v>5500.0</v>
      </c>
      <c r="M42" s="42">
        <v>6000.0</v>
      </c>
      <c r="N42" s="42">
        <v>6000.0</v>
      </c>
      <c r="O42" s="42">
        <v>6000.0</v>
      </c>
    </row>
    <row r="43">
      <c r="C43" s="41" t="s">
        <v>184</v>
      </c>
      <c r="D43" s="42"/>
      <c r="E43" s="42">
        <v>5000.0</v>
      </c>
      <c r="F43" s="42">
        <v>5000.0</v>
      </c>
      <c r="G43" s="42">
        <v>5000.0</v>
      </c>
      <c r="H43" s="42">
        <v>5000.0</v>
      </c>
      <c r="I43" s="42">
        <v>5000.0</v>
      </c>
      <c r="J43" s="42">
        <v>5000.0</v>
      </c>
      <c r="K43" s="42">
        <v>5500.0</v>
      </c>
      <c r="L43" s="42">
        <v>5500.0</v>
      </c>
      <c r="M43" s="42">
        <v>5500.0</v>
      </c>
      <c r="N43" s="42">
        <v>5500.0</v>
      </c>
      <c r="O43" s="42">
        <v>5500.0</v>
      </c>
    </row>
    <row r="44">
      <c r="C44" s="41" t="s">
        <v>184</v>
      </c>
      <c r="D44" s="42"/>
      <c r="E44" s="42"/>
      <c r="F44" s="42">
        <v>5000.0</v>
      </c>
      <c r="G44" s="42">
        <v>5000.0</v>
      </c>
      <c r="H44" s="42">
        <v>5000.0</v>
      </c>
      <c r="I44" s="42">
        <v>5000.0</v>
      </c>
      <c r="J44" s="42">
        <v>5000.0</v>
      </c>
      <c r="K44" s="42">
        <v>5000.0</v>
      </c>
      <c r="L44" s="42">
        <v>5500.0</v>
      </c>
      <c r="M44" s="42">
        <v>5500.0</v>
      </c>
      <c r="N44" s="42">
        <v>5500.0</v>
      </c>
      <c r="O44" s="42">
        <v>5500.0</v>
      </c>
    </row>
    <row r="45">
      <c r="C45" s="41" t="s">
        <v>184</v>
      </c>
      <c r="D45" s="44"/>
      <c r="E45" s="42"/>
      <c r="F45" s="42"/>
      <c r="G45" s="42"/>
      <c r="H45" s="42">
        <v>5000.0</v>
      </c>
      <c r="I45" s="42">
        <v>5000.0</v>
      </c>
      <c r="J45" s="42">
        <v>5000.0</v>
      </c>
      <c r="K45" s="42">
        <v>5000.0</v>
      </c>
      <c r="L45" s="42">
        <v>5000.0</v>
      </c>
      <c r="M45" s="42">
        <v>5500.0</v>
      </c>
      <c r="N45" s="42">
        <v>5500.0</v>
      </c>
      <c r="O45" s="42">
        <v>5500.0</v>
      </c>
    </row>
    <row r="46">
      <c r="C46" s="41" t="s">
        <v>184</v>
      </c>
      <c r="D46" s="44"/>
      <c r="E46" s="45"/>
      <c r="F46" s="42"/>
      <c r="G46" s="42"/>
      <c r="H46" s="42"/>
      <c r="I46" s="42"/>
      <c r="J46" s="42">
        <v>5000.0</v>
      </c>
      <c r="K46" s="42">
        <v>5000.0</v>
      </c>
      <c r="L46" s="42">
        <v>5000.0</v>
      </c>
      <c r="M46" s="42">
        <v>5000.0</v>
      </c>
      <c r="N46" s="42">
        <v>5500.0</v>
      </c>
      <c r="O46" s="42">
        <v>5500.0</v>
      </c>
    </row>
    <row r="47">
      <c r="C47" s="41" t="s">
        <v>184</v>
      </c>
      <c r="D47" s="44"/>
      <c r="E47" s="45"/>
      <c r="F47" s="45"/>
      <c r="G47" s="42"/>
      <c r="H47" s="42"/>
      <c r="I47" s="42"/>
      <c r="J47" s="42"/>
      <c r="K47" s="42"/>
      <c r="L47" s="42">
        <v>5000.0</v>
      </c>
      <c r="M47" s="42">
        <v>5000.0</v>
      </c>
      <c r="N47" s="42">
        <v>5000.0</v>
      </c>
      <c r="O47" s="42">
        <v>5000.0</v>
      </c>
    </row>
    <row r="48">
      <c r="C48" s="41" t="s">
        <v>184</v>
      </c>
      <c r="D48" s="44"/>
      <c r="E48" s="45"/>
      <c r="F48" s="45"/>
      <c r="G48" s="45"/>
      <c r="H48" s="42"/>
      <c r="I48" s="42"/>
      <c r="J48" s="42"/>
      <c r="K48" s="42"/>
      <c r="L48" s="42"/>
      <c r="M48" s="42">
        <v>5000.0</v>
      </c>
      <c r="N48" s="42">
        <v>5000.0</v>
      </c>
      <c r="O48" s="42">
        <v>5000.0</v>
      </c>
    </row>
    <row r="49">
      <c r="C49" s="41" t="s">
        <v>184</v>
      </c>
      <c r="D49" s="44"/>
      <c r="E49" s="45"/>
      <c r="F49" s="45"/>
      <c r="G49" s="45"/>
      <c r="H49" s="45"/>
      <c r="I49" s="42"/>
      <c r="J49" s="42"/>
      <c r="K49" s="42"/>
      <c r="L49" s="42"/>
      <c r="M49" s="42"/>
      <c r="N49" s="42"/>
      <c r="O49" s="42">
        <v>5000.0</v>
      </c>
    </row>
    <row r="50">
      <c r="C50" s="41" t="s">
        <v>184</v>
      </c>
      <c r="D50" s="45"/>
      <c r="E50" s="45"/>
      <c r="F50" s="45"/>
      <c r="G50" s="45"/>
      <c r="H50" s="45"/>
      <c r="I50" s="45"/>
      <c r="J50" s="42"/>
      <c r="K50" s="42"/>
      <c r="L50" s="42"/>
      <c r="M50" s="42"/>
      <c r="N50" s="42"/>
      <c r="O50" s="42"/>
    </row>
    <row r="52">
      <c r="B52" s="38" t="s">
        <v>185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>
      <c r="B53" s="36" t="s">
        <v>49</v>
      </c>
      <c r="C53" s="46" t="s">
        <v>61</v>
      </c>
      <c r="D53" s="42" t="s">
        <v>50</v>
      </c>
      <c r="E53" s="42" t="s">
        <v>51</v>
      </c>
      <c r="F53" s="42" t="s">
        <v>52</v>
      </c>
      <c r="G53" s="42" t="s">
        <v>53</v>
      </c>
      <c r="H53" s="42" t="s">
        <v>54</v>
      </c>
      <c r="I53" s="42" t="s">
        <v>55</v>
      </c>
      <c r="J53" s="42" t="s">
        <v>56</v>
      </c>
      <c r="K53" s="42" t="s">
        <v>57</v>
      </c>
      <c r="L53" s="42" t="s">
        <v>58</v>
      </c>
      <c r="M53" s="42" t="s">
        <v>59</v>
      </c>
      <c r="N53" s="42" t="s">
        <v>60</v>
      </c>
      <c r="O53" s="42" t="s">
        <v>61</v>
      </c>
    </row>
    <row r="54">
      <c r="B54" s="16" t="s">
        <v>160</v>
      </c>
      <c r="C54" s="47">
        <f t="shared" ref="C54:O54" si="12">C12</f>
        <v>170</v>
      </c>
      <c r="D54" s="47">
        <f t="shared" si="12"/>
        <v>174.817757</v>
      </c>
      <c r="E54" s="47">
        <f t="shared" si="12"/>
        <v>179.189122</v>
      </c>
      <c r="F54" s="47">
        <f t="shared" si="12"/>
        <v>183.1559755</v>
      </c>
      <c r="G54" s="47">
        <f t="shared" si="12"/>
        <v>188.7636135</v>
      </c>
      <c r="H54" s="47">
        <f t="shared" si="12"/>
        <v>193.8565999</v>
      </c>
      <c r="I54" s="47">
        <f t="shared" si="12"/>
        <v>198.4825821</v>
      </c>
      <c r="J54" s="47">
        <f t="shared" si="12"/>
        <v>204.6899876</v>
      </c>
      <c r="K54" s="47">
        <f t="shared" si="12"/>
        <v>210.331075</v>
      </c>
      <c r="L54" s="47">
        <f t="shared" si="12"/>
        <v>215.4578236</v>
      </c>
      <c r="M54" s="47">
        <f t="shared" si="12"/>
        <v>222.1211272</v>
      </c>
      <c r="N54" s="47">
        <f t="shared" si="12"/>
        <v>228.1789029</v>
      </c>
      <c r="O54" s="47">
        <f t="shared" si="12"/>
        <v>233.6864068</v>
      </c>
    </row>
    <row r="55">
      <c r="B55" s="36" t="s">
        <v>186</v>
      </c>
      <c r="C55" s="29">
        <v>26.0</v>
      </c>
      <c r="D55" s="29">
        <v>26.0</v>
      </c>
      <c r="E55" s="29">
        <v>26.0</v>
      </c>
      <c r="F55" s="29">
        <v>26.0</v>
      </c>
      <c r="G55" s="29">
        <v>26.0</v>
      </c>
      <c r="H55" s="29">
        <v>26.0</v>
      </c>
      <c r="I55" s="29">
        <v>26.0</v>
      </c>
      <c r="J55" s="29">
        <v>26.0</v>
      </c>
      <c r="K55" s="29">
        <v>26.0</v>
      </c>
      <c r="L55" s="29">
        <v>26.0</v>
      </c>
      <c r="M55" s="29">
        <v>26.0</v>
      </c>
      <c r="N55" s="29">
        <v>26.0</v>
      </c>
      <c r="O55" s="29">
        <v>26.0</v>
      </c>
    </row>
    <row r="56">
      <c r="B56" s="16" t="s">
        <v>187</v>
      </c>
      <c r="C56" s="31">
        <f t="shared" ref="C56:O56" si="13">C54/C55</f>
        <v>6.538461538</v>
      </c>
      <c r="D56" s="31">
        <f t="shared" si="13"/>
        <v>6.723759885</v>
      </c>
      <c r="E56" s="31">
        <f t="shared" si="13"/>
        <v>6.891889308</v>
      </c>
      <c r="F56" s="31">
        <f t="shared" si="13"/>
        <v>7.044460595</v>
      </c>
      <c r="G56" s="31">
        <f t="shared" si="13"/>
        <v>7.260138982</v>
      </c>
      <c r="H56" s="31">
        <f t="shared" si="13"/>
        <v>7.456023074</v>
      </c>
      <c r="I56" s="31">
        <f t="shared" si="13"/>
        <v>7.633945467</v>
      </c>
      <c r="J56" s="31">
        <f t="shared" si="13"/>
        <v>7.872691831</v>
      </c>
      <c r="K56" s="31">
        <f t="shared" si="13"/>
        <v>8.089656731</v>
      </c>
      <c r="L56" s="31">
        <f t="shared" si="13"/>
        <v>8.28683937</v>
      </c>
      <c r="M56" s="31">
        <f t="shared" si="13"/>
        <v>8.543120276</v>
      </c>
      <c r="N56" s="31">
        <f t="shared" si="13"/>
        <v>8.776111648</v>
      </c>
      <c r="O56" s="31">
        <f t="shared" si="13"/>
        <v>8.987938721</v>
      </c>
    </row>
    <row r="57">
      <c r="B57" s="16" t="s">
        <v>188</v>
      </c>
      <c r="C57" s="10">
        <v>6.0</v>
      </c>
      <c r="D57" s="48">
        <f t="shared" ref="D57:O57" si="14">count(D65:D80)</f>
        <v>8</v>
      </c>
      <c r="E57" s="48">
        <f t="shared" si="14"/>
        <v>8</v>
      </c>
      <c r="F57" s="48">
        <f t="shared" si="14"/>
        <v>8</v>
      </c>
      <c r="G57" s="48">
        <f t="shared" si="14"/>
        <v>9</v>
      </c>
      <c r="H57" s="48">
        <f t="shared" si="14"/>
        <v>9</v>
      </c>
      <c r="I57" s="48">
        <f t="shared" si="14"/>
        <v>9</v>
      </c>
      <c r="J57" s="48">
        <f t="shared" si="14"/>
        <v>9</v>
      </c>
      <c r="K57" s="48">
        <f t="shared" si="14"/>
        <v>10</v>
      </c>
      <c r="L57" s="48">
        <f t="shared" si="14"/>
        <v>10</v>
      </c>
      <c r="M57" s="48">
        <f t="shared" si="14"/>
        <v>10</v>
      </c>
      <c r="N57" s="48">
        <f t="shared" si="14"/>
        <v>10</v>
      </c>
      <c r="O57" s="48">
        <f t="shared" si="14"/>
        <v>11</v>
      </c>
    </row>
    <row r="58">
      <c r="B58" s="36" t="s">
        <v>164</v>
      </c>
      <c r="C58" s="31">
        <f t="shared" ref="C58:O58" si="15">C56-C57</f>
        <v>0.5384615385</v>
      </c>
      <c r="D58" s="31">
        <f t="shared" si="15"/>
        <v>-1.276240115</v>
      </c>
      <c r="E58" s="31">
        <f t="shared" si="15"/>
        <v>-1.108110692</v>
      </c>
      <c r="F58" s="31">
        <f t="shared" si="15"/>
        <v>-0.9555394048</v>
      </c>
      <c r="G58" s="31">
        <f t="shared" si="15"/>
        <v>-1.739861018</v>
      </c>
      <c r="H58" s="31">
        <f t="shared" si="15"/>
        <v>-1.543976926</v>
      </c>
      <c r="I58" s="31">
        <f t="shared" si="15"/>
        <v>-1.366054533</v>
      </c>
      <c r="J58" s="31">
        <f t="shared" si="15"/>
        <v>-1.127308169</v>
      </c>
      <c r="K58" s="31">
        <f t="shared" si="15"/>
        <v>-1.910343269</v>
      </c>
      <c r="L58" s="31">
        <f t="shared" si="15"/>
        <v>-1.71316063</v>
      </c>
      <c r="M58" s="31">
        <f t="shared" si="15"/>
        <v>-1.456879724</v>
      </c>
      <c r="N58" s="31">
        <f t="shared" si="15"/>
        <v>-1.223888352</v>
      </c>
      <c r="O58" s="31">
        <f t="shared" si="15"/>
        <v>-2.012061279</v>
      </c>
    </row>
    <row r="59">
      <c r="B59" s="16" t="s">
        <v>189</v>
      </c>
      <c r="C59" s="49">
        <f t="shared" ref="C59:O59" si="16">C54/C57</f>
        <v>28.33333333</v>
      </c>
      <c r="D59" s="49">
        <f t="shared" si="16"/>
        <v>21.85221963</v>
      </c>
      <c r="E59" s="49">
        <f t="shared" si="16"/>
        <v>22.39864025</v>
      </c>
      <c r="F59" s="49">
        <f t="shared" si="16"/>
        <v>22.89449693</v>
      </c>
      <c r="G59" s="49">
        <f t="shared" si="16"/>
        <v>20.97373484</v>
      </c>
      <c r="H59" s="49">
        <f t="shared" si="16"/>
        <v>21.53962221</v>
      </c>
      <c r="I59" s="49">
        <f t="shared" si="16"/>
        <v>22.05362024</v>
      </c>
      <c r="J59" s="49">
        <f t="shared" si="16"/>
        <v>22.74333196</v>
      </c>
      <c r="K59" s="49">
        <f t="shared" si="16"/>
        <v>21.0331075</v>
      </c>
      <c r="L59" s="49">
        <f t="shared" si="16"/>
        <v>21.54578236</v>
      </c>
      <c r="M59" s="49">
        <f t="shared" si="16"/>
        <v>22.21211272</v>
      </c>
      <c r="N59" s="49">
        <f t="shared" si="16"/>
        <v>22.81789029</v>
      </c>
      <c r="O59" s="49">
        <f t="shared" si="16"/>
        <v>21.2442188</v>
      </c>
    </row>
    <row r="61">
      <c r="B61" s="1"/>
      <c r="C61" s="38" t="s">
        <v>185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>
      <c r="C62" s="9" t="s">
        <v>44</v>
      </c>
      <c r="D62" s="40" t="s">
        <v>45</v>
      </c>
      <c r="E62" s="7"/>
      <c r="F62" s="8"/>
      <c r="G62" s="40" t="s">
        <v>46</v>
      </c>
      <c r="H62" s="7"/>
      <c r="I62" s="8"/>
      <c r="J62" s="40" t="s">
        <v>47</v>
      </c>
      <c r="K62" s="7"/>
      <c r="L62" s="8"/>
      <c r="M62" s="40" t="s">
        <v>48</v>
      </c>
      <c r="N62" s="7"/>
      <c r="O62" s="8"/>
    </row>
    <row r="63">
      <c r="C63" s="9" t="s">
        <v>49</v>
      </c>
      <c r="D63" s="17" t="s">
        <v>50</v>
      </c>
      <c r="E63" s="17" t="s">
        <v>51</v>
      </c>
      <c r="F63" s="17" t="s">
        <v>52</v>
      </c>
      <c r="G63" s="17" t="s">
        <v>53</v>
      </c>
      <c r="H63" s="17" t="s">
        <v>54</v>
      </c>
      <c r="I63" s="17" t="s">
        <v>55</v>
      </c>
      <c r="J63" s="17" t="s">
        <v>56</v>
      </c>
      <c r="K63" s="17" t="s">
        <v>57</v>
      </c>
      <c r="L63" s="17" t="s">
        <v>58</v>
      </c>
      <c r="M63" s="17" t="s">
        <v>59</v>
      </c>
      <c r="N63" s="17" t="s">
        <v>60</v>
      </c>
      <c r="O63" s="17" t="s">
        <v>61</v>
      </c>
    </row>
    <row r="64">
      <c r="C64" s="16" t="s">
        <v>190</v>
      </c>
      <c r="D64" s="24">
        <f t="shared" ref="D64:O64" si="17">SUM(D65:D75)</f>
        <v>28500</v>
      </c>
      <c r="E64" s="24">
        <f t="shared" si="17"/>
        <v>29250</v>
      </c>
      <c r="F64" s="24">
        <f t="shared" si="17"/>
        <v>29250</v>
      </c>
      <c r="G64" s="24">
        <f t="shared" si="17"/>
        <v>33250</v>
      </c>
      <c r="H64" s="24">
        <f t="shared" si="17"/>
        <v>33250</v>
      </c>
      <c r="I64" s="24">
        <f t="shared" si="17"/>
        <v>33250</v>
      </c>
      <c r="J64" s="24">
        <f t="shared" si="17"/>
        <v>34750</v>
      </c>
      <c r="K64" s="24">
        <f t="shared" si="17"/>
        <v>41250</v>
      </c>
      <c r="L64" s="24">
        <f t="shared" si="17"/>
        <v>41250</v>
      </c>
      <c r="M64" s="24">
        <f t="shared" si="17"/>
        <v>41750</v>
      </c>
      <c r="N64" s="24">
        <f t="shared" si="17"/>
        <v>41750</v>
      </c>
      <c r="O64" s="24">
        <f t="shared" si="17"/>
        <v>47750</v>
      </c>
      <c r="P64" s="21">
        <f>SUM(D64:O64)</f>
        <v>435250</v>
      </c>
    </row>
    <row r="65">
      <c r="C65" s="41" t="s">
        <v>191</v>
      </c>
      <c r="D65" s="50">
        <v>4500.0</v>
      </c>
      <c r="E65" s="50">
        <v>4500.0</v>
      </c>
      <c r="F65" s="50">
        <v>4500.0</v>
      </c>
      <c r="G65" s="50">
        <v>4500.0</v>
      </c>
      <c r="H65" s="50">
        <v>4500.0</v>
      </c>
      <c r="I65" s="50">
        <v>4500.0</v>
      </c>
      <c r="J65" s="50">
        <v>5000.0</v>
      </c>
      <c r="K65" s="50">
        <v>5000.0</v>
      </c>
      <c r="L65" s="50">
        <v>5000.0</v>
      </c>
      <c r="M65" s="50">
        <v>5000.0</v>
      </c>
      <c r="N65" s="50">
        <v>5000.0</v>
      </c>
      <c r="O65" s="50">
        <v>5000.0</v>
      </c>
    </row>
    <row r="66">
      <c r="C66" s="41" t="s">
        <v>192</v>
      </c>
      <c r="D66" s="50">
        <v>3500.0</v>
      </c>
      <c r="E66" s="50">
        <v>3750.0</v>
      </c>
      <c r="F66" s="50">
        <v>3750.0</v>
      </c>
      <c r="G66" s="50">
        <v>4000.0</v>
      </c>
      <c r="H66" s="50">
        <v>4000.0</v>
      </c>
      <c r="I66" s="50">
        <v>4000.0</v>
      </c>
      <c r="J66" s="50">
        <v>4000.0</v>
      </c>
      <c r="K66" s="50">
        <v>4000.0</v>
      </c>
      <c r="L66" s="50">
        <v>4000.0</v>
      </c>
      <c r="M66" s="50">
        <v>4250.0</v>
      </c>
      <c r="N66" s="50">
        <v>4250.0</v>
      </c>
      <c r="O66" s="50">
        <v>4250.0</v>
      </c>
    </row>
    <row r="67">
      <c r="C67" s="51" t="s">
        <v>193</v>
      </c>
      <c r="D67" s="50">
        <v>4000.0</v>
      </c>
      <c r="E67" s="50">
        <v>4000.0</v>
      </c>
      <c r="F67" s="50">
        <v>4000.0</v>
      </c>
      <c r="G67" s="50">
        <v>4000.0</v>
      </c>
      <c r="H67" s="50">
        <v>4000.0</v>
      </c>
      <c r="I67" s="50">
        <v>4000.0</v>
      </c>
      <c r="J67" s="50">
        <v>4250.0</v>
      </c>
      <c r="K67" s="50">
        <v>4250.0</v>
      </c>
      <c r="L67" s="50">
        <v>4250.0</v>
      </c>
      <c r="M67" s="50">
        <v>4250.0</v>
      </c>
      <c r="N67" s="50">
        <v>4250.0</v>
      </c>
      <c r="O67" s="50">
        <v>4250.0</v>
      </c>
    </row>
    <row r="68">
      <c r="C68" s="41" t="s">
        <v>194</v>
      </c>
      <c r="D68" s="50">
        <v>3500.0</v>
      </c>
      <c r="E68" s="50">
        <v>4000.0</v>
      </c>
      <c r="F68" s="50">
        <v>4000.0</v>
      </c>
      <c r="G68" s="50">
        <v>4500.0</v>
      </c>
      <c r="H68" s="50">
        <v>4500.0</v>
      </c>
      <c r="I68" s="50">
        <v>4500.0</v>
      </c>
      <c r="J68" s="50">
        <v>4500.0</v>
      </c>
      <c r="K68" s="50">
        <v>4500.0</v>
      </c>
      <c r="L68" s="50">
        <v>4500.0</v>
      </c>
      <c r="M68" s="50">
        <v>4750.0</v>
      </c>
      <c r="N68" s="50">
        <v>4750.0</v>
      </c>
      <c r="O68" s="50">
        <v>4750.0</v>
      </c>
    </row>
    <row r="69">
      <c r="C69" s="41" t="s">
        <v>195</v>
      </c>
      <c r="D69" s="50">
        <v>3250.0</v>
      </c>
      <c r="E69" s="50">
        <v>3250.0</v>
      </c>
      <c r="F69" s="50">
        <v>3250.0</v>
      </c>
      <c r="G69" s="50">
        <v>3500.0</v>
      </c>
      <c r="H69" s="50">
        <v>3500.0</v>
      </c>
      <c r="I69" s="50">
        <v>3500.0</v>
      </c>
      <c r="J69" s="50">
        <v>4000.0</v>
      </c>
      <c r="K69" s="50">
        <v>4000.0</v>
      </c>
      <c r="L69" s="50">
        <v>4000.0</v>
      </c>
      <c r="M69" s="50">
        <v>4000.0</v>
      </c>
      <c r="N69" s="50">
        <v>4000.0</v>
      </c>
      <c r="O69" s="50">
        <v>4000.0</v>
      </c>
    </row>
    <row r="70">
      <c r="C70" s="41" t="s">
        <v>196</v>
      </c>
      <c r="D70" s="50">
        <v>2750.0</v>
      </c>
      <c r="E70" s="50">
        <v>2750.0</v>
      </c>
      <c r="F70" s="50">
        <v>2750.0</v>
      </c>
      <c r="G70" s="50">
        <v>2750.0</v>
      </c>
      <c r="H70" s="50">
        <v>2750.0</v>
      </c>
      <c r="I70" s="50">
        <v>2750.0</v>
      </c>
      <c r="J70" s="50">
        <v>3000.0</v>
      </c>
      <c r="K70" s="50">
        <v>3500.0</v>
      </c>
      <c r="L70" s="50">
        <v>3500.0</v>
      </c>
      <c r="M70" s="50">
        <v>3500.0</v>
      </c>
      <c r="N70" s="50">
        <v>3500.0</v>
      </c>
      <c r="O70" s="50">
        <v>3500.0</v>
      </c>
    </row>
    <row r="71">
      <c r="C71" s="52" t="s">
        <v>197</v>
      </c>
      <c r="D71" s="50">
        <v>4000.0</v>
      </c>
      <c r="E71" s="50">
        <v>4000.0</v>
      </c>
      <c r="F71" s="50">
        <v>4000.0</v>
      </c>
      <c r="G71" s="50">
        <v>4000.0</v>
      </c>
      <c r="H71" s="50">
        <v>4000.0</v>
      </c>
      <c r="I71" s="50">
        <v>4000.0</v>
      </c>
      <c r="J71" s="50">
        <v>4000.0</v>
      </c>
      <c r="K71" s="50">
        <v>4000.0</v>
      </c>
      <c r="L71" s="50">
        <v>4000.0</v>
      </c>
      <c r="M71" s="50">
        <v>4000.0</v>
      </c>
      <c r="N71" s="50">
        <v>4000.0</v>
      </c>
      <c r="O71" s="50">
        <v>4000.0</v>
      </c>
    </row>
    <row r="72">
      <c r="C72" s="52" t="s">
        <v>198</v>
      </c>
      <c r="D72" s="50">
        <v>3000.0</v>
      </c>
      <c r="E72" s="50">
        <v>3000.0</v>
      </c>
      <c r="F72" s="50">
        <v>3000.0</v>
      </c>
      <c r="G72" s="50">
        <v>3000.0</v>
      </c>
      <c r="H72" s="50">
        <v>3000.0</v>
      </c>
      <c r="I72" s="50">
        <v>3000.0</v>
      </c>
      <c r="J72" s="50">
        <v>3000.0</v>
      </c>
      <c r="K72" s="50">
        <v>3000.0</v>
      </c>
      <c r="L72" s="50">
        <v>3000.0</v>
      </c>
      <c r="M72" s="50">
        <v>3000.0</v>
      </c>
      <c r="N72" s="50">
        <v>3000.0</v>
      </c>
      <c r="O72" s="50">
        <v>3000.0</v>
      </c>
    </row>
    <row r="73">
      <c r="C73" s="52" t="s">
        <v>199</v>
      </c>
      <c r="D73" s="50"/>
      <c r="E73" s="50"/>
      <c r="F73" s="50"/>
      <c r="G73" s="50">
        <v>3000.0</v>
      </c>
      <c r="H73" s="50">
        <v>3000.0</v>
      </c>
      <c r="I73" s="50">
        <v>3000.0</v>
      </c>
      <c r="J73" s="50">
        <v>3000.0</v>
      </c>
      <c r="K73" s="50">
        <v>3000.0</v>
      </c>
      <c r="L73" s="50">
        <v>3000.0</v>
      </c>
      <c r="M73" s="50">
        <v>3000.0</v>
      </c>
      <c r="N73" s="50">
        <v>3000.0</v>
      </c>
      <c r="O73" s="50">
        <v>3000.0</v>
      </c>
    </row>
    <row r="74">
      <c r="C74" s="52" t="s">
        <v>200</v>
      </c>
      <c r="D74" s="53"/>
      <c r="E74" s="53"/>
      <c r="F74" s="53"/>
      <c r="G74" s="50"/>
      <c r="H74" s="50"/>
      <c r="I74" s="50"/>
      <c r="J74" s="50"/>
      <c r="K74" s="50">
        <v>6000.0</v>
      </c>
      <c r="L74" s="50">
        <v>6000.0</v>
      </c>
      <c r="M74" s="50">
        <v>6000.0</v>
      </c>
      <c r="N74" s="50">
        <v>6000.0</v>
      </c>
      <c r="O74" s="50">
        <v>6000.0</v>
      </c>
    </row>
    <row r="75">
      <c r="C75" s="52" t="s">
        <v>201</v>
      </c>
      <c r="D75" s="45"/>
      <c r="E75" s="45"/>
      <c r="F75" s="45"/>
      <c r="G75" s="45"/>
      <c r="H75" s="45"/>
      <c r="I75" s="45"/>
      <c r="J75" s="50"/>
      <c r="K75" s="50"/>
      <c r="L75" s="50"/>
      <c r="M75" s="50"/>
      <c r="N75" s="50"/>
      <c r="O75" s="50">
        <v>6000.0</v>
      </c>
    </row>
    <row r="76">
      <c r="C76" s="41" t="s">
        <v>202</v>
      </c>
      <c r="D76" s="54"/>
      <c r="E76" s="54"/>
      <c r="F76" s="54"/>
      <c r="G76" s="54"/>
      <c r="H76" s="54"/>
      <c r="I76" s="54"/>
      <c r="J76" s="54"/>
      <c r="K76" s="54"/>
      <c r="L76" s="37"/>
      <c r="M76" s="37"/>
      <c r="N76" s="50"/>
      <c r="O76" s="50"/>
    </row>
    <row r="77">
      <c r="C77" s="41" t="s">
        <v>203</v>
      </c>
      <c r="D77" s="54"/>
      <c r="E77" s="54"/>
      <c r="F77" s="54"/>
      <c r="G77" s="54"/>
      <c r="H77" s="54"/>
      <c r="I77" s="54"/>
      <c r="J77" s="54"/>
      <c r="K77" s="54"/>
      <c r="L77" s="54"/>
      <c r="M77" s="37"/>
      <c r="N77" s="37"/>
      <c r="O77" s="37"/>
    </row>
    <row r="78">
      <c r="C78" s="41" t="s">
        <v>204</v>
      </c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37"/>
      <c r="O78" s="37"/>
    </row>
    <row r="79">
      <c r="C79" s="41" t="s">
        <v>205</v>
      </c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</row>
    <row r="80">
      <c r="C80" s="41" t="s">
        <v>206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2">
      <c r="B82" s="38" t="s">
        <v>207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8"/>
    </row>
    <row r="83">
      <c r="B83" s="16" t="s">
        <v>49</v>
      </c>
      <c r="C83" s="10" t="s">
        <v>61</v>
      </c>
      <c r="D83" s="10" t="s">
        <v>50</v>
      </c>
      <c r="E83" s="10" t="s">
        <v>51</v>
      </c>
      <c r="F83" s="10" t="s">
        <v>52</v>
      </c>
      <c r="G83" s="10" t="s">
        <v>53</v>
      </c>
      <c r="H83" s="10" t="s">
        <v>54</v>
      </c>
      <c r="I83" s="10" t="s">
        <v>55</v>
      </c>
      <c r="J83" s="10" t="s">
        <v>56</v>
      </c>
      <c r="K83" s="10" t="s">
        <v>57</v>
      </c>
      <c r="L83" s="10" t="s">
        <v>58</v>
      </c>
      <c r="M83" s="10" t="s">
        <v>59</v>
      </c>
      <c r="N83" s="10" t="s">
        <v>60</v>
      </c>
      <c r="O83" s="10" t="s">
        <v>61</v>
      </c>
    </row>
    <row r="84">
      <c r="B84" s="16" t="s">
        <v>208</v>
      </c>
      <c r="C84" s="24">
        <f>Revenue!C12</f>
        <v>200000</v>
      </c>
      <c r="D84" s="24">
        <f>Revenue!D12+CAC!Q52</f>
        <v>282000</v>
      </c>
      <c r="E84" s="24">
        <f>Revenue!E12+CAC!R52</f>
        <v>311120</v>
      </c>
      <c r="F84" s="24">
        <f>Revenue!F12+CAC!S52</f>
        <v>337619.2</v>
      </c>
      <c r="G84" s="24">
        <f>Revenue!G12+CAC!T52</f>
        <v>376733.472</v>
      </c>
      <c r="H84" s="24">
        <f>Revenue!H12+CAC!U52</f>
        <v>403227.4595</v>
      </c>
      <c r="I84" s="24">
        <f>Revenue!I12+CAC!V52</f>
        <v>427336.9882</v>
      </c>
      <c r="J84" s="24">
        <f>Revenue!J12+CAC!W52</f>
        <v>464276.6592</v>
      </c>
      <c r="K84" s="24">
        <f>Revenue!K12+CAC!X52</f>
        <v>488791.7599</v>
      </c>
      <c r="L84" s="24">
        <f>Revenue!L12+CAC!Y52</f>
        <v>511100.5015</v>
      </c>
      <c r="M84" s="24">
        <f>Revenue!M12+CAC!Z52</f>
        <v>546401.4564</v>
      </c>
      <c r="N84" s="24">
        <f>Revenue!N12+CAC!AA52</f>
        <v>569425.3253</v>
      </c>
      <c r="O84" s="24">
        <f>Revenue!O12+CAC!AB52</f>
        <v>590377.046</v>
      </c>
      <c r="P84" s="21">
        <f>SUM(D84:O84)</f>
        <v>5308409.868</v>
      </c>
    </row>
    <row r="85">
      <c r="B85" s="16" t="s">
        <v>209</v>
      </c>
      <c r="C85" s="31">
        <f>Revenue!C14</f>
        <v>47</v>
      </c>
      <c r="D85" s="31">
        <f>Revenue!D14+CAC!Q54</f>
        <v>60.03885714</v>
      </c>
      <c r="E85" s="31">
        <f>Revenue!E14+CAC!R54</f>
        <v>65.38187672</v>
      </c>
      <c r="F85" s="31">
        <f>Revenue!F14+CAC!S54</f>
        <v>70.22736543</v>
      </c>
      <c r="G85" s="31">
        <f>Revenue!G14+CAC!T54</f>
        <v>77.05866902</v>
      </c>
      <c r="H85" s="31">
        <f>Revenue!H14+CAC!U54</f>
        <v>81.96326885</v>
      </c>
      <c r="I85" s="31">
        <f>Revenue!I14+CAC!V54</f>
        <v>86.41700072</v>
      </c>
      <c r="J85" s="31">
        <f>Revenue!J14+CAC!W54</f>
        <v>92.89479501</v>
      </c>
      <c r="K85" s="31">
        <f>Revenue!K14+CAC!X54</f>
        <v>97.48228068</v>
      </c>
      <c r="L85" s="31">
        <f>Revenue!L14+CAC!Y54</f>
        <v>101.6508753</v>
      </c>
      <c r="M85" s="31">
        <f>Revenue!M14+CAC!Z54</f>
        <v>107.8705242</v>
      </c>
      <c r="N85" s="31">
        <f>Revenue!N14+CAC!AA54</f>
        <v>112.225554</v>
      </c>
      <c r="O85" s="31">
        <f>Revenue!O14+CAC!AB54</f>
        <v>116.1845506</v>
      </c>
    </row>
    <row r="86">
      <c r="B86" s="16" t="s">
        <v>186</v>
      </c>
      <c r="C86" s="29">
        <v>18.0</v>
      </c>
      <c r="D86" s="29">
        <v>18.0</v>
      </c>
      <c r="E86" s="29">
        <v>18.0</v>
      </c>
      <c r="F86" s="29">
        <v>18.0</v>
      </c>
      <c r="G86" s="29">
        <v>18.0</v>
      </c>
      <c r="H86" s="29">
        <v>18.0</v>
      </c>
      <c r="I86" s="29">
        <v>18.0</v>
      </c>
      <c r="J86" s="29">
        <v>18.0</v>
      </c>
      <c r="K86" s="29">
        <v>18.0</v>
      </c>
      <c r="L86" s="29">
        <v>18.0</v>
      </c>
      <c r="M86" s="29">
        <v>18.0</v>
      </c>
      <c r="N86" s="29">
        <v>18.0</v>
      </c>
      <c r="O86" s="29">
        <v>18.0</v>
      </c>
      <c r="P86" s="55"/>
    </row>
    <row r="87">
      <c r="B87" s="16" t="s">
        <v>162</v>
      </c>
      <c r="C87" s="29">
        <f t="shared" ref="C87:O87" si="18">C85/C86</f>
        <v>2.611111111</v>
      </c>
      <c r="D87" s="29">
        <f t="shared" si="18"/>
        <v>3.335492063</v>
      </c>
      <c r="E87" s="29">
        <f t="shared" si="18"/>
        <v>3.632326484</v>
      </c>
      <c r="F87" s="29">
        <f t="shared" si="18"/>
        <v>3.901520302</v>
      </c>
      <c r="G87" s="29">
        <f t="shared" si="18"/>
        <v>4.281037168</v>
      </c>
      <c r="H87" s="29">
        <f t="shared" si="18"/>
        <v>4.553514936</v>
      </c>
      <c r="I87" s="29">
        <f t="shared" si="18"/>
        <v>4.800944485</v>
      </c>
      <c r="J87" s="29">
        <f t="shared" si="18"/>
        <v>5.160821945</v>
      </c>
      <c r="K87" s="29">
        <f t="shared" si="18"/>
        <v>5.41568226</v>
      </c>
      <c r="L87" s="29">
        <f t="shared" si="18"/>
        <v>5.647270852</v>
      </c>
      <c r="M87" s="29">
        <f t="shared" si="18"/>
        <v>5.9928069</v>
      </c>
      <c r="N87" s="29">
        <f t="shared" si="18"/>
        <v>6.234753</v>
      </c>
      <c r="O87" s="29">
        <f t="shared" si="18"/>
        <v>6.454697254</v>
      </c>
    </row>
    <row r="88">
      <c r="B88" s="16" t="s">
        <v>163</v>
      </c>
      <c r="C88" s="10">
        <v>3.0</v>
      </c>
      <c r="D88" s="56">
        <f t="shared" ref="D88:O88" si="19">count(D97:D110)</f>
        <v>6</v>
      </c>
      <c r="E88" s="56">
        <f t="shared" si="19"/>
        <v>6</v>
      </c>
      <c r="F88" s="56">
        <f t="shared" si="19"/>
        <v>6</v>
      </c>
      <c r="G88" s="56">
        <f t="shared" si="19"/>
        <v>7</v>
      </c>
      <c r="H88" s="56">
        <f t="shared" si="19"/>
        <v>7</v>
      </c>
      <c r="I88" s="56">
        <f t="shared" si="19"/>
        <v>8</v>
      </c>
      <c r="J88" s="56">
        <f t="shared" si="19"/>
        <v>8</v>
      </c>
      <c r="K88" s="56">
        <f t="shared" si="19"/>
        <v>9</v>
      </c>
      <c r="L88" s="56">
        <f t="shared" si="19"/>
        <v>9</v>
      </c>
      <c r="M88" s="56">
        <f t="shared" si="19"/>
        <v>9</v>
      </c>
      <c r="N88" s="56">
        <f t="shared" si="19"/>
        <v>10</v>
      </c>
      <c r="O88" s="56">
        <f t="shared" si="19"/>
        <v>10</v>
      </c>
    </row>
    <row r="89">
      <c r="B89" s="16" t="s">
        <v>164</v>
      </c>
      <c r="C89" s="31">
        <f t="shared" ref="C89:O89" si="20">C87-C88</f>
        <v>-0.3888888889</v>
      </c>
      <c r="D89" s="31">
        <f t="shared" si="20"/>
        <v>-2.664507937</v>
      </c>
      <c r="E89" s="31">
        <f t="shared" si="20"/>
        <v>-2.367673516</v>
      </c>
      <c r="F89" s="31">
        <f t="shared" si="20"/>
        <v>-2.098479698</v>
      </c>
      <c r="G89" s="31">
        <f t="shared" si="20"/>
        <v>-2.718962832</v>
      </c>
      <c r="H89" s="31">
        <f t="shared" si="20"/>
        <v>-2.446485064</v>
      </c>
      <c r="I89" s="31">
        <f t="shared" si="20"/>
        <v>-3.199055515</v>
      </c>
      <c r="J89" s="31">
        <f t="shared" si="20"/>
        <v>-2.839178055</v>
      </c>
      <c r="K89" s="31">
        <f t="shared" si="20"/>
        <v>-3.58431774</v>
      </c>
      <c r="L89" s="31">
        <f t="shared" si="20"/>
        <v>-3.352729148</v>
      </c>
      <c r="M89" s="31">
        <f t="shared" si="20"/>
        <v>-3.0071931</v>
      </c>
      <c r="N89" s="31">
        <f t="shared" si="20"/>
        <v>-3.765247</v>
      </c>
      <c r="O89" s="31">
        <f t="shared" si="20"/>
        <v>-3.545302746</v>
      </c>
    </row>
    <row r="90">
      <c r="B90" s="16" t="s">
        <v>210</v>
      </c>
      <c r="C90" s="30">
        <f t="shared" ref="C90:O90" si="21">C85/C88</f>
        <v>15.66666667</v>
      </c>
      <c r="D90" s="30">
        <f t="shared" si="21"/>
        <v>10.00647619</v>
      </c>
      <c r="E90" s="30">
        <f t="shared" si="21"/>
        <v>10.89697945</v>
      </c>
      <c r="F90" s="30">
        <f t="shared" si="21"/>
        <v>11.70456091</v>
      </c>
      <c r="G90" s="30">
        <f t="shared" si="21"/>
        <v>11.00838129</v>
      </c>
      <c r="H90" s="30">
        <f t="shared" si="21"/>
        <v>11.70903841</v>
      </c>
      <c r="I90" s="30">
        <f t="shared" si="21"/>
        <v>10.80212509</v>
      </c>
      <c r="J90" s="30">
        <f t="shared" si="21"/>
        <v>11.61184938</v>
      </c>
      <c r="K90" s="30">
        <f t="shared" si="21"/>
        <v>10.83136452</v>
      </c>
      <c r="L90" s="30">
        <f t="shared" si="21"/>
        <v>11.2945417</v>
      </c>
      <c r="M90" s="30">
        <f t="shared" si="21"/>
        <v>11.9856138</v>
      </c>
      <c r="N90" s="30">
        <f t="shared" si="21"/>
        <v>11.2225554</v>
      </c>
      <c r="O90" s="30">
        <f t="shared" si="21"/>
        <v>11.61845506</v>
      </c>
    </row>
    <row r="91">
      <c r="B91" s="16" t="s">
        <v>211</v>
      </c>
      <c r="C91" s="23">
        <f t="shared" ref="C91:O91" si="22">C84/C88</f>
        <v>66666.66667</v>
      </c>
      <c r="D91" s="23">
        <f t="shared" si="22"/>
        <v>47000</v>
      </c>
      <c r="E91" s="23">
        <f t="shared" si="22"/>
        <v>51853.33333</v>
      </c>
      <c r="F91" s="23">
        <f t="shared" si="22"/>
        <v>56269.86667</v>
      </c>
      <c r="G91" s="23">
        <f t="shared" si="22"/>
        <v>53819.06743</v>
      </c>
      <c r="H91" s="23">
        <f t="shared" si="22"/>
        <v>57603.92279</v>
      </c>
      <c r="I91" s="23">
        <f t="shared" si="22"/>
        <v>53417.12352</v>
      </c>
      <c r="J91" s="23">
        <f t="shared" si="22"/>
        <v>58034.5824</v>
      </c>
      <c r="K91" s="23">
        <f t="shared" si="22"/>
        <v>54310.19554</v>
      </c>
      <c r="L91" s="23">
        <f t="shared" si="22"/>
        <v>56788.94461</v>
      </c>
      <c r="M91" s="23">
        <f t="shared" si="22"/>
        <v>60711.27293</v>
      </c>
      <c r="N91" s="23">
        <f t="shared" si="22"/>
        <v>56942.53253</v>
      </c>
      <c r="O91" s="23">
        <f t="shared" si="22"/>
        <v>59037.7046</v>
      </c>
    </row>
    <row r="93">
      <c r="B93" s="15"/>
      <c r="C93" s="38" t="s">
        <v>212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>
      <c r="C94" s="9" t="s">
        <v>44</v>
      </c>
      <c r="D94" s="40" t="s">
        <v>45</v>
      </c>
      <c r="E94" s="7"/>
      <c r="F94" s="8"/>
      <c r="G94" s="40" t="s">
        <v>46</v>
      </c>
      <c r="H94" s="7"/>
      <c r="I94" s="8"/>
      <c r="J94" s="40" t="s">
        <v>47</v>
      </c>
      <c r="K94" s="7"/>
      <c r="L94" s="8"/>
      <c r="M94" s="40" t="s">
        <v>48</v>
      </c>
      <c r="N94" s="7"/>
      <c r="O94" s="8"/>
    </row>
    <row r="95">
      <c r="C95" s="9" t="s">
        <v>49</v>
      </c>
      <c r="D95" s="17" t="s">
        <v>50</v>
      </c>
      <c r="E95" s="17" t="s">
        <v>51</v>
      </c>
      <c r="F95" s="17" t="s">
        <v>52</v>
      </c>
      <c r="G95" s="17" t="s">
        <v>53</v>
      </c>
      <c r="H95" s="17" t="s">
        <v>54</v>
      </c>
      <c r="I95" s="17" t="s">
        <v>55</v>
      </c>
      <c r="J95" s="17" t="s">
        <v>56</v>
      </c>
      <c r="K95" s="17" t="s">
        <v>57</v>
      </c>
      <c r="L95" s="17" t="s">
        <v>58</v>
      </c>
      <c r="M95" s="17" t="s">
        <v>59</v>
      </c>
      <c r="N95" s="17" t="s">
        <v>60</v>
      </c>
      <c r="O95" s="17" t="s">
        <v>61</v>
      </c>
    </row>
    <row r="96">
      <c r="C96" s="16" t="s">
        <v>213</v>
      </c>
      <c r="D96" s="24">
        <f t="shared" ref="D96:O96" si="23">SUM(D97:D110)</f>
        <v>23500</v>
      </c>
      <c r="E96" s="24">
        <f t="shared" si="23"/>
        <v>23500</v>
      </c>
      <c r="F96" s="24">
        <f t="shared" si="23"/>
        <v>23500</v>
      </c>
      <c r="G96" s="24">
        <f t="shared" si="23"/>
        <v>30500</v>
      </c>
      <c r="H96" s="24">
        <f t="shared" si="23"/>
        <v>30500</v>
      </c>
      <c r="I96" s="24">
        <f t="shared" si="23"/>
        <v>35000</v>
      </c>
      <c r="J96" s="24">
        <f t="shared" si="23"/>
        <v>36500</v>
      </c>
      <c r="K96" s="24">
        <f t="shared" si="23"/>
        <v>41000</v>
      </c>
      <c r="L96" s="24">
        <f t="shared" si="23"/>
        <v>41000</v>
      </c>
      <c r="M96" s="24">
        <f t="shared" si="23"/>
        <v>45000</v>
      </c>
      <c r="N96" s="24">
        <f t="shared" si="23"/>
        <v>49500</v>
      </c>
      <c r="O96" s="24">
        <f t="shared" si="23"/>
        <v>49500</v>
      </c>
    </row>
    <row r="97">
      <c r="C97" s="41" t="s">
        <v>214</v>
      </c>
      <c r="D97" s="50">
        <v>4500.0</v>
      </c>
      <c r="E97" s="50">
        <v>4500.0</v>
      </c>
      <c r="F97" s="50">
        <v>4500.0</v>
      </c>
      <c r="G97" s="50">
        <v>5000.0</v>
      </c>
      <c r="H97" s="50">
        <v>5000.0</v>
      </c>
      <c r="I97" s="50">
        <v>5000.0</v>
      </c>
      <c r="J97" s="50">
        <v>5500.0</v>
      </c>
      <c r="K97" s="50">
        <v>5500.0</v>
      </c>
      <c r="L97" s="50">
        <v>5500.0</v>
      </c>
      <c r="M97" s="50">
        <v>6000.0</v>
      </c>
      <c r="N97" s="50">
        <v>6000.0</v>
      </c>
      <c r="O97" s="50">
        <v>6000.0</v>
      </c>
    </row>
    <row r="98">
      <c r="C98" s="41" t="s">
        <v>215</v>
      </c>
      <c r="D98" s="50">
        <v>4500.0</v>
      </c>
      <c r="E98" s="50">
        <v>4500.0</v>
      </c>
      <c r="F98" s="50">
        <v>4500.0</v>
      </c>
      <c r="G98" s="50">
        <v>5000.0</v>
      </c>
      <c r="H98" s="50">
        <v>5000.0</v>
      </c>
      <c r="I98" s="50">
        <v>5000.0</v>
      </c>
      <c r="J98" s="50">
        <v>5500.0</v>
      </c>
      <c r="K98" s="50">
        <v>5500.0</v>
      </c>
      <c r="L98" s="50">
        <v>5500.0</v>
      </c>
      <c r="M98" s="50">
        <v>6000.0</v>
      </c>
      <c r="N98" s="50">
        <v>6000.0</v>
      </c>
      <c r="O98" s="50">
        <v>6000.0</v>
      </c>
    </row>
    <row r="99">
      <c r="C99" s="41" t="s">
        <v>216</v>
      </c>
      <c r="D99" s="50">
        <v>5000.0</v>
      </c>
      <c r="E99" s="50">
        <v>5000.0</v>
      </c>
      <c r="F99" s="50">
        <v>5000.0</v>
      </c>
      <c r="G99" s="50">
        <v>5500.0</v>
      </c>
      <c r="H99" s="50">
        <v>5500.0</v>
      </c>
      <c r="I99" s="50">
        <v>5500.0</v>
      </c>
      <c r="J99" s="50">
        <v>5500.0</v>
      </c>
      <c r="K99" s="50">
        <v>5500.0</v>
      </c>
      <c r="L99" s="50">
        <v>5500.0</v>
      </c>
      <c r="M99" s="50">
        <v>6000.0</v>
      </c>
      <c r="N99" s="50">
        <v>6000.0</v>
      </c>
      <c r="O99" s="50">
        <v>6000.0</v>
      </c>
    </row>
    <row r="100">
      <c r="C100" s="16" t="s">
        <v>217</v>
      </c>
      <c r="D100" s="24">
        <v>4000.0</v>
      </c>
      <c r="E100" s="24">
        <v>4000.0</v>
      </c>
      <c r="F100" s="24">
        <v>4000.0</v>
      </c>
      <c r="G100" s="24">
        <v>4500.0</v>
      </c>
      <c r="H100" s="24">
        <v>4500.0</v>
      </c>
      <c r="I100" s="24">
        <v>4500.0</v>
      </c>
      <c r="J100" s="24">
        <v>4500.0</v>
      </c>
      <c r="K100" s="50">
        <v>5000.0</v>
      </c>
      <c r="L100" s="50">
        <v>5000.0</v>
      </c>
      <c r="M100" s="50">
        <v>5000.0</v>
      </c>
      <c r="N100" s="50">
        <v>5000.0</v>
      </c>
      <c r="O100" s="50">
        <v>5000.0</v>
      </c>
    </row>
    <row r="101">
      <c r="C101" s="16" t="s">
        <v>218</v>
      </c>
      <c r="D101" s="50">
        <v>4000.0</v>
      </c>
      <c r="E101" s="50">
        <v>4000.0</v>
      </c>
      <c r="F101" s="50">
        <v>4000.0</v>
      </c>
      <c r="G101" s="50">
        <v>4500.0</v>
      </c>
      <c r="H101" s="50">
        <v>4500.0</v>
      </c>
      <c r="I101" s="50">
        <v>4500.0</v>
      </c>
      <c r="J101" s="50">
        <v>5000.0</v>
      </c>
      <c r="K101" s="50">
        <v>5000.0</v>
      </c>
      <c r="L101" s="50">
        <v>5000.0</v>
      </c>
      <c r="M101" s="50">
        <v>5500.0</v>
      </c>
      <c r="N101" s="50">
        <v>5500.0</v>
      </c>
      <c r="O101" s="50">
        <v>5500.0</v>
      </c>
    </row>
    <row r="102">
      <c r="C102" s="41" t="s">
        <v>219</v>
      </c>
      <c r="D102" s="50">
        <v>1500.0</v>
      </c>
      <c r="E102" s="50">
        <v>1500.0</v>
      </c>
      <c r="F102" s="50">
        <v>1500.0</v>
      </c>
      <c r="G102" s="50">
        <v>2000.0</v>
      </c>
      <c r="H102" s="50">
        <v>2000.0</v>
      </c>
      <c r="I102" s="50">
        <v>2000.0</v>
      </c>
      <c r="J102" s="50">
        <v>2000.0</v>
      </c>
      <c r="K102" s="50">
        <v>2000.0</v>
      </c>
      <c r="L102" s="50">
        <v>2000.0</v>
      </c>
      <c r="M102" s="50">
        <v>3000.0</v>
      </c>
      <c r="N102" s="50">
        <v>3000.0</v>
      </c>
      <c r="O102" s="50">
        <v>3000.0</v>
      </c>
    </row>
    <row r="103">
      <c r="C103" s="16" t="s">
        <v>199</v>
      </c>
      <c r="D103" s="42"/>
      <c r="E103" s="50"/>
      <c r="F103" s="50"/>
      <c r="G103" s="50">
        <v>4000.0</v>
      </c>
      <c r="H103" s="50">
        <v>4000.0</v>
      </c>
      <c r="I103" s="50">
        <v>4500.0</v>
      </c>
      <c r="J103" s="50">
        <v>4500.0</v>
      </c>
      <c r="K103" s="50">
        <v>4500.0</v>
      </c>
      <c r="L103" s="50">
        <v>4500.0</v>
      </c>
      <c r="M103" s="50">
        <v>4500.0</v>
      </c>
      <c r="N103" s="50">
        <v>4500.0</v>
      </c>
      <c r="O103" s="50">
        <v>4500.0</v>
      </c>
    </row>
    <row r="104">
      <c r="C104" s="16" t="s">
        <v>200</v>
      </c>
      <c r="D104" s="42"/>
      <c r="E104" s="42"/>
      <c r="F104" s="50"/>
      <c r="G104" s="50"/>
      <c r="H104" s="50"/>
      <c r="I104" s="50">
        <v>4000.0</v>
      </c>
      <c r="J104" s="50">
        <v>4000.0</v>
      </c>
      <c r="K104" s="50">
        <v>4000.0</v>
      </c>
      <c r="L104" s="50">
        <v>4000.0</v>
      </c>
      <c r="M104" s="50">
        <v>4500.0</v>
      </c>
      <c r="N104" s="50">
        <v>4500.0</v>
      </c>
      <c r="O104" s="50">
        <v>4500.0</v>
      </c>
    </row>
    <row r="105">
      <c r="C105" s="16" t="s">
        <v>201</v>
      </c>
      <c r="D105" s="23"/>
      <c r="E105" s="23"/>
      <c r="F105" s="23"/>
      <c r="G105" s="50"/>
      <c r="H105" s="50"/>
      <c r="I105" s="50"/>
      <c r="J105" s="50"/>
      <c r="K105" s="24">
        <v>4000.0</v>
      </c>
      <c r="L105" s="24">
        <v>4000.0</v>
      </c>
      <c r="M105" s="50">
        <v>4500.0</v>
      </c>
      <c r="N105" s="50">
        <v>4500.0</v>
      </c>
      <c r="O105" s="50">
        <v>4500.0</v>
      </c>
    </row>
    <row r="106">
      <c r="C106" s="16" t="s">
        <v>202</v>
      </c>
      <c r="D106" s="42"/>
      <c r="E106" s="42"/>
      <c r="F106" s="42"/>
      <c r="G106" s="42"/>
      <c r="H106" s="50"/>
      <c r="I106" s="50"/>
      <c r="J106" s="50"/>
      <c r="K106" s="50"/>
      <c r="L106" s="50"/>
      <c r="M106" s="50"/>
      <c r="N106" s="50">
        <v>4500.0</v>
      </c>
      <c r="O106" s="50">
        <v>4500.0</v>
      </c>
    </row>
    <row r="107">
      <c r="C107" s="16" t="s">
        <v>203</v>
      </c>
      <c r="D107" s="42"/>
      <c r="E107" s="42"/>
      <c r="F107" s="42"/>
      <c r="G107" s="42"/>
      <c r="H107" s="42"/>
      <c r="I107" s="42"/>
      <c r="J107" s="50"/>
      <c r="K107" s="50"/>
      <c r="L107" s="50"/>
      <c r="M107" s="50"/>
      <c r="N107" s="50"/>
      <c r="O107" s="50"/>
    </row>
    <row r="108">
      <c r="C108" s="16" t="s">
        <v>204</v>
      </c>
      <c r="D108" s="42"/>
      <c r="E108" s="42"/>
      <c r="F108" s="42"/>
      <c r="G108" s="42"/>
      <c r="H108" s="42"/>
      <c r="I108" s="42"/>
      <c r="J108" s="42"/>
      <c r="K108" s="50"/>
      <c r="L108" s="50"/>
      <c r="M108" s="50"/>
      <c r="N108" s="50"/>
      <c r="O108" s="50"/>
    </row>
    <row r="109">
      <c r="C109" s="16" t="s">
        <v>205</v>
      </c>
      <c r="D109" s="42"/>
      <c r="E109" s="42"/>
      <c r="F109" s="42"/>
      <c r="G109" s="42"/>
      <c r="H109" s="42"/>
      <c r="I109" s="42"/>
      <c r="J109" s="42"/>
      <c r="K109" s="42"/>
      <c r="L109" s="50"/>
      <c r="M109" s="50"/>
      <c r="N109" s="50"/>
      <c r="O109" s="50"/>
    </row>
    <row r="110">
      <c r="C110" s="16" t="s">
        <v>206</v>
      </c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50"/>
      <c r="O110" s="50"/>
    </row>
    <row r="111">
      <c r="C111" s="57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</row>
    <row r="112">
      <c r="B112" s="38" t="s">
        <v>220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</row>
    <row r="113">
      <c r="B113" s="36" t="s">
        <v>49</v>
      </c>
      <c r="C113" s="46" t="s">
        <v>61</v>
      </c>
      <c r="D113" s="42" t="s">
        <v>50</v>
      </c>
      <c r="E113" s="42" t="s">
        <v>51</v>
      </c>
      <c r="F113" s="42" t="s">
        <v>52</v>
      </c>
      <c r="G113" s="42" t="s">
        <v>53</v>
      </c>
      <c r="H113" s="42" t="s">
        <v>54</v>
      </c>
      <c r="I113" s="42" t="s">
        <v>55</v>
      </c>
      <c r="J113" s="42" t="s">
        <v>56</v>
      </c>
      <c r="K113" s="42" t="s">
        <v>57</v>
      </c>
      <c r="L113" s="42" t="s">
        <v>58</v>
      </c>
      <c r="M113" s="42" t="s">
        <v>59</v>
      </c>
      <c r="N113" s="42" t="s">
        <v>60</v>
      </c>
      <c r="O113" s="42" t="s">
        <v>61</v>
      </c>
    </row>
    <row r="114">
      <c r="B114" s="16" t="s">
        <v>209</v>
      </c>
      <c r="C114" s="31">
        <f t="shared" ref="C114:O114" si="24">C85</f>
        <v>47</v>
      </c>
      <c r="D114" s="31">
        <f t="shared" si="24"/>
        <v>60.03885714</v>
      </c>
      <c r="E114" s="31">
        <f t="shared" si="24"/>
        <v>65.38187672</v>
      </c>
      <c r="F114" s="31">
        <f t="shared" si="24"/>
        <v>70.22736543</v>
      </c>
      <c r="G114" s="31">
        <f t="shared" si="24"/>
        <v>77.05866902</v>
      </c>
      <c r="H114" s="31">
        <f t="shared" si="24"/>
        <v>81.96326885</v>
      </c>
      <c r="I114" s="31">
        <f t="shared" si="24"/>
        <v>86.41700072</v>
      </c>
      <c r="J114" s="31">
        <f t="shared" si="24"/>
        <v>92.89479501</v>
      </c>
      <c r="K114" s="31">
        <f t="shared" si="24"/>
        <v>97.48228068</v>
      </c>
      <c r="L114" s="31">
        <f t="shared" si="24"/>
        <v>101.6508753</v>
      </c>
      <c r="M114" s="31">
        <f t="shared" si="24"/>
        <v>107.8705242</v>
      </c>
      <c r="N114" s="31">
        <f t="shared" si="24"/>
        <v>112.225554</v>
      </c>
      <c r="O114" s="31">
        <f t="shared" si="24"/>
        <v>116.1845506</v>
      </c>
    </row>
    <row r="115">
      <c r="B115" s="36" t="s">
        <v>186</v>
      </c>
      <c r="C115" s="29">
        <v>20.0</v>
      </c>
      <c r="D115" s="29">
        <v>20.0</v>
      </c>
      <c r="E115" s="29">
        <v>20.0</v>
      </c>
      <c r="F115" s="29">
        <v>20.0</v>
      </c>
      <c r="G115" s="29">
        <v>20.0</v>
      </c>
      <c r="H115" s="29">
        <v>20.0</v>
      </c>
      <c r="I115" s="29">
        <v>20.0</v>
      </c>
      <c r="J115" s="29">
        <v>20.0</v>
      </c>
      <c r="K115" s="29">
        <v>20.0</v>
      </c>
      <c r="L115" s="29">
        <v>20.0</v>
      </c>
      <c r="M115" s="29">
        <v>20.0</v>
      </c>
      <c r="N115" s="29">
        <v>20.0</v>
      </c>
      <c r="O115" s="29">
        <v>20.0</v>
      </c>
    </row>
    <row r="116">
      <c r="B116" s="16" t="s">
        <v>187</v>
      </c>
      <c r="C116" s="31">
        <f t="shared" ref="C116:O116" si="25">C114/C115</f>
        <v>2.35</v>
      </c>
      <c r="D116" s="31">
        <f t="shared" si="25"/>
        <v>3.001942857</v>
      </c>
      <c r="E116" s="31">
        <f t="shared" si="25"/>
        <v>3.269093836</v>
      </c>
      <c r="F116" s="31">
        <f t="shared" si="25"/>
        <v>3.511368272</v>
      </c>
      <c r="G116" s="31">
        <f t="shared" si="25"/>
        <v>3.852933451</v>
      </c>
      <c r="H116" s="31">
        <f t="shared" si="25"/>
        <v>4.098163442</v>
      </c>
      <c r="I116" s="31">
        <f t="shared" si="25"/>
        <v>4.320850036</v>
      </c>
      <c r="J116" s="31">
        <f t="shared" si="25"/>
        <v>4.644739751</v>
      </c>
      <c r="K116" s="31">
        <f t="shared" si="25"/>
        <v>4.874114034</v>
      </c>
      <c r="L116" s="31">
        <f t="shared" si="25"/>
        <v>5.082543767</v>
      </c>
      <c r="M116" s="31">
        <f t="shared" si="25"/>
        <v>5.39352621</v>
      </c>
      <c r="N116" s="31">
        <f t="shared" si="25"/>
        <v>5.6112777</v>
      </c>
      <c r="O116" s="31">
        <f t="shared" si="25"/>
        <v>5.809227529</v>
      </c>
    </row>
    <row r="117">
      <c r="B117" s="16" t="s">
        <v>188</v>
      </c>
      <c r="C117" s="10">
        <v>1.0</v>
      </c>
      <c r="D117" s="48">
        <f t="shared" ref="D117:O117" si="26">count(D125:D135)</f>
        <v>4</v>
      </c>
      <c r="E117" s="48">
        <f t="shared" si="26"/>
        <v>4</v>
      </c>
      <c r="F117" s="48">
        <f t="shared" si="26"/>
        <v>5</v>
      </c>
      <c r="G117" s="48">
        <f t="shared" si="26"/>
        <v>5</v>
      </c>
      <c r="H117" s="48">
        <f t="shared" si="26"/>
        <v>5</v>
      </c>
      <c r="I117" s="48">
        <f t="shared" si="26"/>
        <v>5</v>
      </c>
      <c r="J117" s="48">
        <f t="shared" si="26"/>
        <v>6</v>
      </c>
      <c r="K117" s="48">
        <f t="shared" si="26"/>
        <v>6</v>
      </c>
      <c r="L117" s="48">
        <f t="shared" si="26"/>
        <v>6</v>
      </c>
      <c r="M117" s="48">
        <f t="shared" si="26"/>
        <v>7</v>
      </c>
      <c r="N117" s="48">
        <f t="shared" si="26"/>
        <v>7</v>
      </c>
      <c r="O117" s="48">
        <f t="shared" si="26"/>
        <v>7</v>
      </c>
    </row>
    <row r="118">
      <c r="B118" s="36" t="s">
        <v>164</v>
      </c>
      <c r="C118" s="31">
        <f t="shared" ref="C118:O118" si="27">C116-C117</f>
        <v>1.35</v>
      </c>
      <c r="D118" s="31">
        <f t="shared" si="27"/>
        <v>-0.9980571429</v>
      </c>
      <c r="E118" s="31">
        <f t="shared" si="27"/>
        <v>-0.7309061641</v>
      </c>
      <c r="F118" s="31">
        <f t="shared" si="27"/>
        <v>-1.488631728</v>
      </c>
      <c r="G118" s="31">
        <f t="shared" si="27"/>
        <v>-1.147066549</v>
      </c>
      <c r="H118" s="31">
        <f t="shared" si="27"/>
        <v>-0.9018365576</v>
      </c>
      <c r="I118" s="31">
        <f t="shared" si="27"/>
        <v>-0.6791499639</v>
      </c>
      <c r="J118" s="31">
        <f t="shared" si="27"/>
        <v>-1.355260249</v>
      </c>
      <c r="K118" s="31">
        <f t="shared" si="27"/>
        <v>-1.125885966</v>
      </c>
      <c r="L118" s="31">
        <f t="shared" si="27"/>
        <v>-0.9174562333</v>
      </c>
      <c r="M118" s="31">
        <f t="shared" si="27"/>
        <v>-1.60647379</v>
      </c>
      <c r="N118" s="31">
        <f t="shared" si="27"/>
        <v>-1.3887223</v>
      </c>
      <c r="O118" s="31">
        <f t="shared" si="27"/>
        <v>-1.190772471</v>
      </c>
    </row>
    <row r="119">
      <c r="B119" s="16" t="s">
        <v>189</v>
      </c>
      <c r="C119" s="30">
        <f t="shared" ref="C119:O119" si="28">C114/C117</f>
        <v>47</v>
      </c>
      <c r="D119" s="30">
        <f t="shared" si="28"/>
        <v>15.00971429</v>
      </c>
      <c r="E119" s="30">
        <f t="shared" si="28"/>
        <v>16.34546918</v>
      </c>
      <c r="F119" s="30">
        <f t="shared" si="28"/>
        <v>14.04547309</v>
      </c>
      <c r="G119" s="30">
        <f t="shared" si="28"/>
        <v>15.4117338</v>
      </c>
      <c r="H119" s="30">
        <f t="shared" si="28"/>
        <v>16.39265377</v>
      </c>
      <c r="I119" s="30">
        <f t="shared" si="28"/>
        <v>17.28340014</v>
      </c>
      <c r="J119" s="30">
        <f t="shared" si="28"/>
        <v>15.48246584</v>
      </c>
      <c r="K119" s="30">
        <f t="shared" si="28"/>
        <v>16.24704678</v>
      </c>
      <c r="L119" s="30">
        <f t="shared" si="28"/>
        <v>16.94181256</v>
      </c>
      <c r="M119" s="30">
        <f t="shared" si="28"/>
        <v>15.41007489</v>
      </c>
      <c r="N119" s="30">
        <f t="shared" si="28"/>
        <v>16.032222</v>
      </c>
      <c r="O119" s="30">
        <f t="shared" si="28"/>
        <v>16.59779294</v>
      </c>
    </row>
    <row r="121">
      <c r="B121" s="1"/>
      <c r="C121" s="38" t="s">
        <v>220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/>
    </row>
    <row r="122">
      <c r="C122" s="9" t="s">
        <v>44</v>
      </c>
      <c r="D122" s="40" t="s">
        <v>45</v>
      </c>
      <c r="E122" s="7"/>
      <c r="F122" s="8"/>
      <c r="G122" s="40" t="s">
        <v>46</v>
      </c>
      <c r="H122" s="7"/>
      <c r="I122" s="8"/>
      <c r="J122" s="40" t="s">
        <v>47</v>
      </c>
      <c r="K122" s="7"/>
      <c r="L122" s="8"/>
      <c r="M122" s="40" t="s">
        <v>48</v>
      </c>
      <c r="N122" s="7"/>
      <c r="O122" s="8"/>
    </row>
    <row r="123">
      <c r="C123" s="9" t="s">
        <v>49</v>
      </c>
      <c r="D123" s="17" t="s">
        <v>50</v>
      </c>
      <c r="E123" s="17" t="s">
        <v>51</v>
      </c>
      <c r="F123" s="17" t="s">
        <v>52</v>
      </c>
      <c r="G123" s="17" t="s">
        <v>53</v>
      </c>
      <c r="H123" s="17" t="s">
        <v>54</v>
      </c>
      <c r="I123" s="17" t="s">
        <v>55</v>
      </c>
      <c r="J123" s="17" t="s">
        <v>56</v>
      </c>
      <c r="K123" s="17" t="s">
        <v>57</v>
      </c>
      <c r="L123" s="17" t="s">
        <v>58</v>
      </c>
      <c r="M123" s="17" t="s">
        <v>59</v>
      </c>
      <c r="N123" s="17" t="s">
        <v>60</v>
      </c>
      <c r="O123" s="17" t="s">
        <v>61</v>
      </c>
    </row>
    <row r="124">
      <c r="C124" s="16" t="s">
        <v>221</v>
      </c>
      <c r="D124" s="24">
        <f t="shared" ref="D124:O124" si="29">SUM(D125:D135)</f>
        <v>12500</v>
      </c>
      <c r="E124" s="24">
        <f t="shared" si="29"/>
        <v>12500</v>
      </c>
      <c r="F124" s="24">
        <f t="shared" si="29"/>
        <v>15500</v>
      </c>
      <c r="G124" s="24">
        <f t="shared" si="29"/>
        <v>16000</v>
      </c>
      <c r="H124" s="24">
        <f t="shared" si="29"/>
        <v>16000</v>
      </c>
      <c r="I124" s="24">
        <f t="shared" si="29"/>
        <v>16000</v>
      </c>
      <c r="J124" s="24">
        <f t="shared" si="29"/>
        <v>21000</v>
      </c>
      <c r="K124" s="24">
        <f t="shared" si="29"/>
        <v>21000</v>
      </c>
      <c r="L124" s="24">
        <f t="shared" si="29"/>
        <v>21000</v>
      </c>
      <c r="M124" s="24">
        <f t="shared" si="29"/>
        <v>25000</v>
      </c>
      <c r="N124" s="24">
        <f t="shared" si="29"/>
        <v>25000</v>
      </c>
      <c r="O124" s="24">
        <f t="shared" si="29"/>
        <v>25000</v>
      </c>
    </row>
    <row r="125">
      <c r="C125" s="41" t="s">
        <v>222</v>
      </c>
      <c r="D125" s="50">
        <v>3000.0</v>
      </c>
      <c r="E125" s="50">
        <v>3000.0</v>
      </c>
      <c r="F125" s="50">
        <v>3000.0</v>
      </c>
      <c r="G125" s="50">
        <v>3000.0</v>
      </c>
      <c r="H125" s="50">
        <v>3000.0</v>
      </c>
      <c r="I125" s="50">
        <v>3000.0</v>
      </c>
      <c r="J125" s="50">
        <v>3500.0</v>
      </c>
      <c r="K125" s="50">
        <v>3500.0</v>
      </c>
      <c r="L125" s="50">
        <v>3500.0</v>
      </c>
      <c r="M125" s="50">
        <v>4000.0</v>
      </c>
      <c r="N125" s="50">
        <v>4000.0</v>
      </c>
      <c r="O125" s="50">
        <v>4000.0</v>
      </c>
    </row>
    <row r="126">
      <c r="C126" s="52" t="s">
        <v>223</v>
      </c>
      <c r="D126" s="50">
        <v>3500.0</v>
      </c>
      <c r="E126" s="50">
        <v>3500.0</v>
      </c>
      <c r="F126" s="50">
        <v>3500.0</v>
      </c>
      <c r="G126" s="50">
        <v>4000.0</v>
      </c>
      <c r="H126" s="50">
        <v>4000.0</v>
      </c>
      <c r="I126" s="50">
        <v>4000.0</v>
      </c>
      <c r="J126" s="50">
        <v>4500.0</v>
      </c>
      <c r="K126" s="50">
        <v>4500.0</v>
      </c>
      <c r="L126" s="50">
        <v>4500.0</v>
      </c>
      <c r="M126" s="50">
        <v>5000.0</v>
      </c>
      <c r="N126" s="50">
        <v>5000.0</v>
      </c>
      <c r="O126" s="50">
        <v>5000.0</v>
      </c>
    </row>
    <row r="127">
      <c r="C127" s="52" t="s">
        <v>224</v>
      </c>
      <c r="D127" s="50">
        <v>3000.0</v>
      </c>
      <c r="E127" s="50">
        <v>3000.0</v>
      </c>
      <c r="F127" s="50">
        <v>3000.0</v>
      </c>
      <c r="G127" s="50">
        <v>3000.0</v>
      </c>
      <c r="H127" s="50">
        <v>3000.0</v>
      </c>
      <c r="I127" s="50">
        <v>3000.0</v>
      </c>
      <c r="J127" s="50">
        <v>3500.0</v>
      </c>
      <c r="K127" s="50">
        <v>3500.0</v>
      </c>
      <c r="L127" s="50">
        <v>3500.0</v>
      </c>
      <c r="M127" s="50">
        <v>3500.0</v>
      </c>
      <c r="N127" s="50">
        <v>3500.0</v>
      </c>
      <c r="O127" s="50">
        <v>3500.0</v>
      </c>
    </row>
    <row r="128">
      <c r="C128" s="52" t="s">
        <v>225</v>
      </c>
      <c r="D128" s="50">
        <v>3000.0</v>
      </c>
      <c r="E128" s="50">
        <v>3000.0</v>
      </c>
      <c r="F128" s="50">
        <v>3000.0</v>
      </c>
      <c r="G128" s="50">
        <v>3000.0</v>
      </c>
      <c r="H128" s="50">
        <v>3000.0</v>
      </c>
      <c r="I128" s="50">
        <v>3000.0</v>
      </c>
      <c r="J128" s="50">
        <v>3500.0</v>
      </c>
      <c r="K128" s="50">
        <v>3500.0</v>
      </c>
      <c r="L128" s="50">
        <v>3500.0</v>
      </c>
      <c r="M128" s="50">
        <v>3500.0</v>
      </c>
      <c r="N128" s="50">
        <v>3500.0</v>
      </c>
      <c r="O128" s="50">
        <v>3500.0</v>
      </c>
    </row>
    <row r="129">
      <c r="C129" s="52" t="s">
        <v>200</v>
      </c>
      <c r="D129" s="50"/>
      <c r="E129" s="50"/>
      <c r="F129" s="50">
        <v>3000.0</v>
      </c>
      <c r="G129" s="50">
        <v>3000.0</v>
      </c>
      <c r="H129" s="50">
        <v>3000.0</v>
      </c>
      <c r="I129" s="50">
        <v>3000.0</v>
      </c>
      <c r="J129" s="50">
        <v>3000.0</v>
      </c>
      <c r="K129" s="50">
        <v>3000.0</v>
      </c>
      <c r="L129" s="50">
        <v>3000.0</v>
      </c>
      <c r="M129" s="50">
        <v>3000.0</v>
      </c>
      <c r="N129" s="50">
        <v>3000.0</v>
      </c>
      <c r="O129" s="50">
        <v>3000.0</v>
      </c>
    </row>
    <row r="130">
      <c r="C130" s="52" t="s">
        <v>201</v>
      </c>
      <c r="D130" s="50"/>
      <c r="E130" s="50"/>
      <c r="F130" s="50"/>
      <c r="G130" s="50"/>
      <c r="H130" s="50"/>
      <c r="I130" s="50"/>
      <c r="J130" s="50">
        <v>3000.0</v>
      </c>
      <c r="K130" s="50">
        <v>3000.0</v>
      </c>
      <c r="L130" s="50">
        <v>3000.0</v>
      </c>
      <c r="M130" s="50">
        <v>3000.0</v>
      </c>
      <c r="N130" s="50">
        <v>3000.0</v>
      </c>
      <c r="O130" s="50">
        <v>3000.0</v>
      </c>
    </row>
    <row r="131">
      <c r="C131" s="52" t="s">
        <v>202</v>
      </c>
      <c r="D131" s="50"/>
      <c r="E131" s="50"/>
      <c r="F131" s="50"/>
      <c r="G131" s="50"/>
      <c r="H131" s="50"/>
      <c r="I131" s="50"/>
      <c r="J131" s="50"/>
      <c r="K131" s="50"/>
      <c r="L131" s="50"/>
      <c r="M131" s="50">
        <v>3000.0</v>
      </c>
      <c r="N131" s="50">
        <v>3000.0</v>
      </c>
      <c r="O131" s="50">
        <v>3000.0</v>
      </c>
    </row>
    <row r="132">
      <c r="C132" s="52" t="s">
        <v>203</v>
      </c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</row>
    <row r="133">
      <c r="C133" s="52" t="s">
        <v>204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>
      <c r="C134" s="52" t="s">
        <v>205</v>
      </c>
      <c r="D134" s="53"/>
      <c r="E134" s="53"/>
      <c r="F134" s="53"/>
      <c r="G134" s="50"/>
      <c r="H134" s="50"/>
      <c r="I134" s="50"/>
      <c r="J134" s="50"/>
      <c r="K134" s="50"/>
      <c r="L134" s="50"/>
      <c r="M134" s="50"/>
      <c r="N134" s="50"/>
      <c r="O134" s="50"/>
    </row>
    <row r="135">
      <c r="C135" s="52" t="s">
        <v>206</v>
      </c>
      <c r="D135" s="45"/>
      <c r="E135" s="45"/>
      <c r="F135" s="45"/>
      <c r="G135" s="45"/>
      <c r="H135" s="45"/>
      <c r="I135" s="45"/>
      <c r="J135" s="50"/>
      <c r="K135" s="50"/>
      <c r="L135" s="50"/>
      <c r="M135" s="50"/>
      <c r="N135" s="50"/>
      <c r="O135" s="50"/>
    </row>
    <row r="136">
      <c r="C136" s="57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</row>
    <row r="137">
      <c r="C137" s="57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</row>
    <row r="138">
      <c r="B138" s="38" t="s">
        <v>226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>
      <c r="B139" s="16" t="s">
        <v>49</v>
      </c>
      <c r="C139" s="16" t="s">
        <v>61</v>
      </c>
      <c r="D139" s="10" t="s">
        <v>50</v>
      </c>
      <c r="E139" s="10" t="s">
        <v>51</v>
      </c>
      <c r="F139" s="10" t="s">
        <v>52</v>
      </c>
      <c r="G139" s="10" t="s">
        <v>53</v>
      </c>
      <c r="H139" s="10" t="s">
        <v>54</v>
      </c>
      <c r="I139" s="10" t="s">
        <v>55</v>
      </c>
      <c r="J139" s="10" t="s">
        <v>56</v>
      </c>
      <c r="K139" s="10" t="s">
        <v>57</v>
      </c>
      <c r="L139" s="10" t="s">
        <v>58</v>
      </c>
      <c r="M139" s="10" t="s">
        <v>59</v>
      </c>
      <c r="N139" s="10" t="s">
        <v>60</v>
      </c>
      <c r="O139" s="10" t="s">
        <v>61</v>
      </c>
    </row>
    <row r="140">
      <c r="B140" s="16" t="s">
        <v>227</v>
      </c>
      <c r="C140" s="24">
        <f>Revenue!C17</f>
        <v>210000</v>
      </c>
      <c r="D140" s="24">
        <f>Revenue!D17</f>
        <v>231100</v>
      </c>
      <c r="E140" s="24">
        <f>Revenue!E17</f>
        <v>250301</v>
      </c>
      <c r="F140" s="24">
        <f>Revenue!F17</f>
        <v>267773.91</v>
      </c>
      <c r="G140" s="24">
        <f>Revenue!G17</f>
        <v>287674.2581</v>
      </c>
      <c r="H140" s="24">
        <f>Revenue!H17</f>
        <v>305783.5749</v>
      </c>
      <c r="I140" s="24">
        <f>Revenue!I17</f>
        <v>322263.0531</v>
      </c>
      <c r="J140" s="24">
        <f>Revenue!J17</f>
        <v>341259.3784</v>
      </c>
      <c r="K140" s="24">
        <f>Revenue!K17</f>
        <v>358546.0343</v>
      </c>
      <c r="L140" s="24">
        <f>Revenue!L17</f>
        <v>374276.8912</v>
      </c>
      <c r="M140" s="24">
        <f>Revenue!M17</f>
        <v>392591.971</v>
      </c>
      <c r="N140" s="24">
        <f>Revenue!N17</f>
        <v>409258.6936</v>
      </c>
      <c r="O140" s="24">
        <f>Revenue!O17</f>
        <v>424425.4112</v>
      </c>
      <c r="P140" s="21">
        <f>SUM(D140:O140)</f>
        <v>3965254.176</v>
      </c>
    </row>
    <row r="141">
      <c r="B141" s="16" t="s">
        <v>228</v>
      </c>
      <c r="C141" s="31">
        <f>Revenue!C19</f>
        <v>93</v>
      </c>
      <c r="D141" s="31">
        <f>Revenue!D19</f>
        <v>102.0457217</v>
      </c>
      <c r="E141" s="31">
        <f>Revenue!E19</f>
        <v>110.2737258</v>
      </c>
      <c r="F141" s="31">
        <f>Revenue!F19</f>
        <v>117.7583415</v>
      </c>
      <c r="G141" s="31">
        <f>Revenue!G19</f>
        <v>126.3074808</v>
      </c>
      <c r="H141" s="31">
        <f>Revenue!H19</f>
        <v>134.0849483</v>
      </c>
      <c r="I141" s="31">
        <f>Revenue!I19</f>
        <v>141.1605938</v>
      </c>
      <c r="J141" s="31">
        <f>Revenue!J19</f>
        <v>149.3379123</v>
      </c>
      <c r="K141" s="31">
        <f>Revenue!K19</f>
        <v>156.7777669</v>
      </c>
      <c r="L141" s="31">
        <f>Revenue!L19</f>
        <v>163.546771</v>
      </c>
      <c r="M141" s="31">
        <f>Revenue!M19</f>
        <v>171.4452345</v>
      </c>
      <c r="N141" s="31">
        <f>Revenue!N19</f>
        <v>178.6317863</v>
      </c>
      <c r="O141" s="31">
        <f>Revenue!O19</f>
        <v>185.1706547</v>
      </c>
    </row>
    <row r="142">
      <c r="B142" s="16" t="s">
        <v>186</v>
      </c>
      <c r="C142" s="29">
        <v>20.0</v>
      </c>
      <c r="D142" s="29">
        <v>18.0</v>
      </c>
      <c r="E142" s="29">
        <v>18.0</v>
      </c>
      <c r="F142" s="29">
        <v>18.0</v>
      </c>
      <c r="G142" s="29">
        <v>18.0</v>
      </c>
      <c r="H142" s="29">
        <v>18.0</v>
      </c>
      <c r="I142" s="29">
        <v>18.0</v>
      </c>
      <c r="J142" s="29">
        <v>18.0</v>
      </c>
      <c r="K142" s="29">
        <v>18.0</v>
      </c>
      <c r="L142" s="29">
        <v>18.0</v>
      </c>
      <c r="M142" s="29">
        <v>18.0</v>
      </c>
      <c r="N142" s="29">
        <v>18.0</v>
      </c>
      <c r="O142" s="29">
        <v>18.0</v>
      </c>
    </row>
    <row r="143">
      <c r="B143" s="16" t="s">
        <v>162</v>
      </c>
      <c r="C143" s="29">
        <f t="shared" ref="C143:O143" si="30">C141/C142</f>
        <v>4.65</v>
      </c>
      <c r="D143" s="29">
        <f t="shared" si="30"/>
        <v>5.669206763</v>
      </c>
      <c r="E143" s="29">
        <f t="shared" si="30"/>
        <v>6.1263181</v>
      </c>
      <c r="F143" s="29">
        <f t="shared" si="30"/>
        <v>6.542130083</v>
      </c>
      <c r="G143" s="29">
        <f t="shared" si="30"/>
        <v>7.017082268</v>
      </c>
      <c r="H143" s="29">
        <f t="shared" si="30"/>
        <v>7.449163795</v>
      </c>
      <c r="I143" s="29">
        <f t="shared" si="30"/>
        <v>7.842255213</v>
      </c>
      <c r="J143" s="29">
        <f t="shared" si="30"/>
        <v>8.296550683</v>
      </c>
      <c r="K143" s="29">
        <f t="shared" si="30"/>
        <v>8.709875937</v>
      </c>
      <c r="L143" s="29">
        <f t="shared" si="30"/>
        <v>9.085931724</v>
      </c>
      <c r="M143" s="29">
        <f t="shared" si="30"/>
        <v>9.52473525</v>
      </c>
      <c r="N143" s="29">
        <f t="shared" si="30"/>
        <v>9.923988127</v>
      </c>
      <c r="O143" s="29">
        <f t="shared" si="30"/>
        <v>10.2872586</v>
      </c>
    </row>
    <row r="144">
      <c r="B144" s="16" t="s">
        <v>163</v>
      </c>
      <c r="C144" s="10">
        <v>6.0</v>
      </c>
      <c r="D144" s="56">
        <f t="shared" ref="D144:O144" si="31">count(D153:D168)</f>
        <v>8</v>
      </c>
      <c r="E144" s="56">
        <f t="shared" si="31"/>
        <v>8</v>
      </c>
      <c r="F144" s="56">
        <f t="shared" si="31"/>
        <v>9</v>
      </c>
      <c r="G144" s="56">
        <f t="shared" si="31"/>
        <v>9</v>
      </c>
      <c r="H144" s="56">
        <f t="shared" si="31"/>
        <v>10</v>
      </c>
      <c r="I144" s="56">
        <f t="shared" si="31"/>
        <v>10</v>
      </c>
      <c r="J144" s="56">
        <f t="shared" si="31"/>
        <v>11</v>
      </c>
      <c r="K144" s="56">
        <f t="shared" si="31"/>
        <v>11</v>
      </c>
      <c r="L144" s="56">
        <f t="shared" si="31"/>
        <v>12</v>
      </c>
      <c r="M144" s="56">
        <f t="shared" si="31"/>
        <v>12</v>
      </c>
      <c r="N144" s="56">
        <f t="shared" si="31"/>
        <v>13</v>
      </c>
      <c r="O144" s="56">
        <f t="shared" si="31"/>
        <v>13</v>
      </c>
    </row>
    <row r="145">
      <c r="B145" s="16" t="s">
        <v>164</v>
      </c>
      <c r="C145" s="31">
        <f t="shared" ref="C145:O145" si="32">C143-C144</f>
        <v>-1.35</v>
      </c>
      <c r="D145" s="31">
        <f t="shared" si="32"/>
        <v>-2.330793237</v>
      </c>
      <c r="E145" s="31">
        <f t="shared" si="32"/>
        <v>-1.8736819</v>
      </c>
      <c r="F145" s="31">
        <f t="shared" si="32"/>
        <v>-2.457869917</v>
      </c>
      <c r="G145" s="31">
        <f t="shared" si="32"/>
        <v>-1.982917732</v>
      </c>
      <c r="H145" s="31">
        <f t="shared" si="32"/>
        <v>-2.550836205</v>
      </c>
      <c r="I145" s="31">
        <f t="shared" si="32"/>
        <v>-2.157744787</v>
      </c>
      <c r="J145" s="31">
        <f t="shared" si="32"/>
        <v>-2.703449317</v>
      </c>
      <c r="K145" s="31">
        <f t="shared" si="32"/>
        <v>-2.290124063</v>
      </c>
      <c r="L145" s="31">
        <f t="shared" si="32"/>
        <v>-2.914068276</v>
      </c>
      <c r="M145" s="31">
        <f t="shared" si="32"/>
        <v>-2.47526475</v>
      </c>
      <c r="N145" s="31">
        <f t="shared" si="32"/>
        <v>-3.076011873</v>
      </c>
      <c r="O145" s="31">
        <f t="shared" si="32"/>
        <v>-2.712741404</v>
      </c>
    </row>
    <row r="146">
      <c r="B146" s="16" t="s">
        <v>210</v>
      </c>
      <c r="C146" s="30">
        <f t="shared" ref="C146:O146" si="33">C141/C144</f>
        <v>15.5</v>
      </c>
      <c r="D146" s="30">
        <f t="shared" si="33"/>
        <v>12.75571522</v>
      </c>
      <c r="E146" s="30">
        <f t="shared" si="33"/>
        <v>13.78421573</v>
      </c>
      <c r="F146" s="30">
        <f t="shared" si="33"/>
        <v>13.08426017</v>
      </c>
      <c r="G146" s="30">
        <f t="shared" si="33"/>
        <v>14.03416454</v>
      </c>
      <c r="H146" s="30">
        <f t="shared" si="33"/>
        <v>13.40849483</v>
      </c>
      <c r="I146" s="30">
        <f t="shared" si="33"/>
        <v>14.11605938</v>
      </c>
      <c r="J146" s="30">
        <f t="shared" si="33"/>
        <v>13.57617384</v>
      </c>
      <c r="K146" s="30">
        <f t="shared" si="33"/>
        <v>14.25252426</v>
      </c>
      <c r="L146" s="30">
        <f t="shared" si="33"/>
        <v>13.62889759</v>
      </c>
      <c r="M146" s="30">
        <f t="shared" si="33"/>
        <v>14.28710288</v>
      </c>
      <c r="N146" s="30">
        <f t="shared" si="33"/>
        <v>13.74090664</v>
      </c>
      <c r="O146" s="30">
        <f t="shared" si="33"/>
        <v>14.24389652</v>
      </c>
    </row>
    <row r="147">
      <c r="B147" s="16" t="s">
        <v>211</v>
      </c>
      <c r="C147" s="23">
        <f t="shared" ref="C147:O147" si="34">C140/C144</f>
        <v>35000</v>
      </c>
      <c r="D147" s="23">
        <f t="shared" si="34"/>
        <v>28887.5</v>
      </c>
      <c r="E147" s="23">
        <f t="shared" si="34"/>
        <v>31287.625</v>
      </c>
      <c r="F147" s="23">
        <f t="shared" si="34"/>
        <v>29752.65667</v>
      </c>
      <c r="G147" s="23">
        <f t="shared" si="34"/>
        <v>31963.80646</v>
      </c>
      <c r="H147" s="23">
        <f t="shared" si="34"/>
        <v>30578.35749</v>
      </c>
      <c r="I147" s="23">
        <f t="shared" si="34"/>
        <v>32226.30531</v>
      </c>
      <c r="J147" s="23">
        <f t="shared" si="34"/>
        <v>31023.57985</v>
      </c>
      <c r="K147" s="23">
        <f t="shared" si="34"/>
        <v>32595.09403</v>
      </c>
      <c r="L147" s="23">
        <f t="shared" si="34"/>
        <v>31189.74093</v>
      </c>
      <c r="M147" s="23">
        <f t="shared" si="34"/>
        <v>32715.99758</v>
      </c>
      <c r="N147" s="23">
        <f t="shared" si="34"/>
        <v>31481.43797</v>
      </c>
      <c r="O147" s="23">
        <f t="shared" si="34"/>
        <v>32648.10855</v>
      </c>
    </row>
    <row r="149">
      <c r="C149" s="38" t="s">
        <v>229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>
      <c r="C150" s="9" t="s">
        <v>44</v>
      </c>
      <c r="D150" s="40" t="s">
        <v>45</v>
      </c>
      <c r="E150" s="7"/>
      <c r="F150" s="8"/>
      <c r="G150" s="40" t="s">
        <v>46</v>
      </c>
      <c r="H150" s="7"/>
      <c r="I150" s="8"/>
      <c r="J150" s="40" t="s">
        <v>47</v>
      </c>
      <c r="K150" s="7"/>
      <c r="L150" s="8"/>
      <c r="M150" s="40" t="s">
        <v>48</v>
      </c>
      <c r="N150" s="7"/>
      <c r="O150" s="8"/>
    </row>
    <row r="151">
      <c r="C151" s="9" t="s">
        <v>49</v>
      </c>
      <c r="D151" s="17" t="s">
        <v>50</v>
      </c>
      <c r="E151" s="17" t="s">
        <v>51</v>
      </c>
      <c r="F151" s="17" t="s">
        <v>52</v>
      </c>
      <c r="G151" s="17" t="s">
        <v>53</v>
      </c>
      <c r="H151" s="17" t="s">
        <v>54</v>
      </c>
      <c r="I151" s="17" t="s">
        <v>55</v>
      </c>
      <c r="J151" s="17" t="s">
        <v>56</v>
      </c>
      <c r="K151" s="17" t="s">
        <v>57</v>
      </c>
      <c r="L151" s="17" t="s">
        <v>58</v>
      </c>
      <c r="M151" s="17" t="s">
        <v>59</v>
      </c>
      <c r="N151" s="17" t="s">
        <v>60</v>
      </c>
      <c r="O151" s="17" t="s">
        <v>61</v>
      </c>
    </row>
    <row r="152">
      <c r="C152" s="16" t="s">
        <v>230</v>
      </c>
      <c r="D152" s="24">
        <f t="shared" ref="D152:O152" si="35">SUM(D153:D168)</f>
        <v>29000</v>
      </c>
      <c r="E152" s="24">
        <f t="shared" si="35"/>
        <v>29000</v>
      </c>
      <c r="F152" s="24">
        <f t="shared" si="35"/>
        <v>32500</v>
      </c>
      <c r="G152" s="24">
        <f t="shared" si="35"/>
        <v>35000</v>
      </c>
      <c r="H152" s="24">
        <f t="shared" si="35"/>
        <v>38000</v>
      </c>
      <c r="I152" s="24">
        <f t="shared" si="35"/>
        <v>38000</v>
      </c>
      <c r="J152" s="24">
        <f t="shared" si="35"/>
        <v>43000</v>
      </c>
      <c r="K152" s="24">
        <f t="shared" si="35"/>
        <v>44500</v>
      </c>
      <c r="L152" s="24">
        <f t="shared" si="35"/>
        <v>48000</v>
      </c>
      <c r="M152" s="24">
        <f t="shared" si="35"/>
        <v>49500</v>
      </c>
      <c r="N152" s="24">
        <f t="shared" si="35"/>
        <v>53000</v>
      </c>
      <c r="O152" s="24">
        <f t="shared" si="35"/>
        <v>55500</v>
      </c>
    </row>
    <row r="153">
      <c r="C153" s="41" t="s">
        <v>231</v>
      </c>
      <c r="D153" s="42">
        <v>4500.0</v>
      </c>
      <c r="E153" s="42">
        <v>4500.0</v>
      </c>
      <c r="F153" s="42">
        <v>4500.0</v>
      </c>
      <c r="G153" s="42">
        <v>5000.0</v>
      </c>
      <c r="H153" s="42">
        <v>5000.0</v>
      </c>
      <c r="I153" s="42">
        <v>5000.0</v>
      </c>
      <c r="J153" s="42">
        <v>5000.0</v>
      </c>
      <c r="K153" s="42">
        <v>5500.0</v>
      </c>
      <c r="L153" s="42">
        <v>5500.0</v>
      </c>
      <c r="M153" s="50">
        <v>6000.0</v>
      </c>
      <c r="N153" s="50">
        <v>6000.0</v>
      </c>
      <c r="O153" s="50">
        <v>6000.0</v>
      </c>
    </row>
    <row r="154">
      <c r="C154" s="41" t="s">
        <v>232</v>
      </c>
      <c r="D154" s="42">
        <v>4500.0</v>
      </c>
      <c r="E154" s="42">
        <v>4500.0</v>
      </c>
      <c r="F154" s="42">
        <v>4500.0</v>
      </c>
      <c r="G154" s="42">
        <v>5000.0</v>
      </c>
      <c r="H154" s="42">
        <v>5000.0</v>
      </c>
      <c r="I154" s="42">
        <v>5000.0</v>
      </c>
      <c r="J154" s="42">
        <v>5000.0</v>
      </c>
      <c r="K154" s="42">
        <v>5500.0</v>
      </c>
      <c r="L154" s="42">
        <v>5500.0</v>
      </c>
      <c r="M154" s="42">
        <v>5500.0</v>
      </c>
      <c r="N154" s="42">
        <v>5500.0</v>
      </c>
      <c r="O154" s="42">
        <v>5500.0</v>
      </c>
    </row>
    <row r="155">
      <c r="C155" s="41" t="s">
        <v>233</v>
      </c>
      <c r="D155" s="42">
        <v>4000.0</v>
      </c>
      <c r="E155" s="42">
        <v>4000.0</v>
      </c>
      <c r="F155" s="42">
        <v>4000.0</v>
      </c>
      <c r="G155" s="42">
        <v>4500.0</v>
      </c>
      <c r="H155" s="42">
        <v>4500.0</v>
      </c>
      <c r="I155" s="42">
        <v>4500.0</v>
      </c>
      <c r="J155" s="42">
        <v>4500.0</v>
      </c>
      <c r="K155" s="42">
        <v>5000.0</v>
      </c>
      <c r="L155" s="42">
        <v>5000.0</v>
      </c>
      <c r="M155" s="42">
        <v>5500.0</v>
      </c>
      <c r="N155" s="42">
        <v>5500.0</v>
      </c>
      <c r="O155" s="42">
        <v>5500.0</v>
      </c>
    </row>
    <row r="156">
      <c r="C156" s="41" t="s">
        <v>217</v>
      </c>
      <c r="D156" s="42">
        <v>3500.0</v>
      </c>
      <c r="E156" s="42">
        <v>3500.0</v>
      </c>
      <c r="F156" s="42">
        <v>3500.0</v>
      </c>
      <c r="G156" s="42">
        <v>4000.0</v>
      </c>
      <c r="H156" s="42">
        <v>4000.0</v>
      </c>
      <c r="I156" s="42">
        <v>4000.0</v>
      </c>
      <c r="J156" s="42">
        <v>4500.0</v>
      </c>
      <c r="K156" s="42">
        <v>4500.0</v>
      </c>
      <c r="L156" s="42">
        <v>4500.0</v>
      </c>
      <c r="M156" s="42">
        <v>4500.0</v>
      </c>
      <c r="N156" s="42">
        <v>5000.0</v>
      </c>
      <c r="O156" s="42">
        <v>5000.0</v>
      </c>
    </row>
    <row r="157">
      <c r="C157" s="41" t="s">
        <v>234</v>
      </c>
      <c r="D157" s="42">
        <v>4000.0</v>
      </c>
      <c r="E157" s="42">
        <v>4000.0</v>
      </c>
      <c r="F157" s="42">
        <v>4000.0</v>
      </c>
      <c r="G157" s="42">
        <v>4500.0</v>
      </c>
      <c r="H157" s="42">
        <v>4500.0</v>
      </c>
      <c r="I157" s="42">
        <v>4500.0</v>
      </c>
      <c r="J157" s="42">
        <v>5000.0</v>
      </c>
      <c r="K157" s="42">
        <v>5000.0</v>
      </c>
      <c r="L157" s="42">
        <v>5000.0</v>
      </c>
      <c r="M157" s="42">
        <v>5500.0</v>
      </c>
      <c r="N157" s="42">
        <v>5500.0</v>
      </c>
      <c r="O157" s="42">
        <v>5500.0</v>
      </c>
    </row>
    <row r="158">
      <c r="C158" s="52" t="s">
        <v>235</v>
      </c>
      <c r="D158" s="42">
        <v>1500.0</v>
      </c>
      <c r="E158" s="42">
        <v>1500.0</v>
      </c>
      <c r="F158" s="42">
        <v>2000.0</v>
      </c>
      <c r="G158" s="42">
        <v>2000.0</v>
      </c>
      <c r="H158" s="42">
        <v>2000.0</v>
      </c>
      <c r="I158" s="42">
        <v>2000.0</v>
      </c>
      <c r="J158" s="42">
        <v>3000.0</v>
      </c>
      <c r="K158" s="42">
        <v>3000.0</v>
      </c>
      <c r="L158" s="42">
        <v>3000.0</v>
      </c>
      <c r="M158" s="42">
        <v>3000.0</v>
      </c>
      <c r="N158" s="42">
        <v>3000.0</v>
      </c>
      <c r="O158" s="42">
        <v>3500.0</v>
      </c>
    </row>
    <row r="159">
      <c r="C159" s="16" t="s">
        <v>236</v>
      </c>
      <c r="D159" s="50">
        <v>3000.0</v>
      </c>
      <c r="E159" s="50">
        <v>3000.0</v>
      </c>
      <c r="F159" s="50">
        <v>3000.0</v>
      </c>
      <c r="G159" s="50">
        <v>3000.0</v>
      </c>
      <c r="H159" s="50">
        <v>3000.0</v>
      </c>
      <c r="I159" s="50">
        <v>3000.0</v>
      </c>
      <c r="J159" s="50">
        <v>3000.0</v>
      </c>
      <c r="K159" s="50">
        <v>3000.0</v>
      </c>
      <c r="L159" s="42">
        <v>3500.0</v>
      </c>
      <c r="M159" s="42">
        <v>3500.0</v>
      </c>
      <c r="N159" s="42">
        <v>3500.0</v>
      </c>
      <c r="O159" s="42">
        <v>3500.0</v>
      </c>
    </row>
    <row r="160">
      <c r="C160" s="16" t="s">
        <v>237</v>
      </c>
      <c r="D160" s="50">
        <v>4000.0</v>
      </c>
      <c r="E160" s="50">
        <v>4000.0</v>
      </c>
      <c r="F160" s="50">
        <v>4000.0</v>
      </c>
      <c r="G160" s="50">
        <v>4000.0</v>
      </c>
      <c r="H160" s="50">
        <v>4000.0</v>
      </c>
      <c r="I160" s="50">
        <v>4000.0</v>
      </c>
      <c r="J160" s="50">
        <v>4000.0</v>
      </c>
      <c r="K160" s="50">
        <v>4000.0</v>
      </c>
      <c r="L160" s="50">
        <v>4000.0</v>
      </c>
      <c r="M160" s="50">
        <v>4000.0</v>
      </c>
      <c r="N160" s="50">
        <v>4000.0</v>
      </c>
      <c r="O160" s="50">
        <v>4000.0</v>
      </c>
    </row>
    <row r="161">
      <c r="C161" s="16" t="s">
        <v>199</v>
      </c>
      <c r="D161" s="42"/>
      <c r="E161" s="42"/>
      <c r="F161" s="50">
        <v>3000.0</v>
      </c>
      <c r="G161" s="50">
        <v>3000.0</v>
      </c>
      <c r="H161" s="50">
        <v>3000.0</v>
      </c>
      <c r="I161" s="50">
        <v>3000.0</v>
      </c>
      <c r="J161" s="50">
        <v>3000.0</v>
      </c>
      <c r="K161" s="50">
        <v>3000.0</v>
      </c>
      <c r="L161" s="50">
        <v>3000.0</v>
      </c>
      <c r="M161" s="50">
        <v>3000.0</v>
      </c>
      <c r="N161" s="50">
        <v>3000.0</v>
      </c>
      <c r="O161" s="42">
        <v>3500.0</v>
      </c>
    </row>
    <row r="162">
      <c r="C162" s="16" t="s">
        <v>200</v>
      </c>
      <c r="D162" s="42"/>
      <c r="E162" s="42"/>
      <c r="F162" s="42"/>
      <c r="G162" s="42"/>
      <c r="H162" s="50">
        <v>3000.0</v>
      </c>
      <c r="I162" s="50">
        <v>3000.0</v>
      </c>
      <c r="J162" s="50">
        <v>3000.0</v>
      </c>
      <c r="K162" s="50">
        <v>3000.0</v>
      </c>
      <c r="L162" s="50">
        <v>3000.0</v>
      </c>
      <c r="M162" s="50">
        <v>3000.0</v>
      </c>
      <c r="N162" s="50">
        <v>3000.0</v>
      </c>
      <c r="O162" s="42">
        <v>3500.0</v>
      </c>
    </row>
    <row r="163">
      <c r="C163" s="16" t="s">
        <v>201</v>
      </c>
      <c r="D163" s="53"/>
      <c r="E163" s="42"/>
      <c r="F163" s="42"/>
      <c r="G163" s="42"/>
      <c r="H163" s="42"/>
      <c r="I163" s="42"/>
      <c r="J163" s="50">
        <v>3000.0</v>
      </c>
      <c r="K163" s="50">
        <v>3000.0</v>
      </c>
      <c r="L163" s="50">
        <v>3000.0</v>
      </c>
      <c r="M163" s="50">
        <v>3000.0</v>
      </c>
      <c r="N163" s="50">
        <v>3000.0</v>
      </c>
      <c r="O163" s="42">
        <v>3500.0</v>
      </c>
    </row>
    <row r="164">
      <c r="C164" s="16" t="s">
        <v>202</v>
      </c>
      <c r="D164" s="53"/>
      <c r="E164" s="53"/>
      <c r="F164" s="42"/>
      <c r="G164" s="42"/>
      <c r="H164" s="42"/>
      <c r="I164" s="42"/>
      <c r="J164" s="42"/>
      <c r="K164" s="50"/>
      <c r="L164" s="50">
        <v>3000.0</v>
      </c>
      <c r="M164" s="50">
        <v>3000.0</v>
      </c>
      <c r="N164" s="50">
        <v>3000.0</v>
      </c>
      <c r="O164" s="42">
        <v>3500.0</v>
      </c>
    </row>
    <row r="165">
      <c r="C165" s="16" t="s">
        <v>203</v>
      </c>
      <c r="D165" s="53"/>
      <c r="E165" s="53"/>
      <c r="F165" s="53"/>
      <c r="G165" s="42"/>
      <c r="H165" s="42"/>
      <c r="I165" s="42"/>
      <c r="J165" s="42"/>
      <c r="K165" s="42"/>
      <c r="L165" s="42"/>
      <c r="M165" s="50"/>
      <c r="N165" s="50">
        <v>3000.0</v>
      </c>
      <c r="O165" s="50">
        <v>3000.0</v>
      </c>
    </row>
    <row r="166">
      <c r="C166" s="16" t="s">
        <v>204</v>
      </c>
      <c r="D166" s="53"/>
      <c r="E166" s="53"/>
      <c r="F166" s="53"/>
      <c r="G166" s="53"/>
      <c r="H166" s="42"/>
      <c r="I166" s="42"/>
      <c r="J166" s="42"/>
      <c r="K166" s="42"/>
      <c r="L166" s="42"/>
      <c r="M166" s="42"/>
      <c r="N166" s="50"/>
      <c r="O166" s="50"/>
    </row>
    <row r="167">
      <c r="C167" s="16" t="s">
        <v>205</v>
      </c>
      <c r="D167" s="59"/>
      <c r="E167" s="59"/>
      <c r="F167" s="59"/>
      <c r="G167" s="59"/>
      <c r="H167" s="59"/>
      <c r="I167" s="42"/>
      <c r="J167" s="42"/>
      <c r="K167" s="42"/>
      <c r="L167" s="42"/>
      <c r="M167" s="42"/>
      <c r="N167" s="42"/>
      <c r="O167" s="42"/>
    </row>
    <row r="168">
      <c r="C168" s="16" t="s">
        <v>206</v>
      </c>
      <c r="D168" s="59"/>
      <c r="E168" s="59"/>
      <c r="F168" s="59"/>
      <c r="G168" s="59"/>
      <c r="H168" s="59"/>
      <c r="I168" s="59"/>
      <c r="J168" s="42"/>
      <c r="K168" s="42"/>
      <c r="L168" s="42"/>
      <c r="M168" s="42"/>
      <c r="N168" s="42"/>
      <c r="O168" s="42"/>
    </row>
    <row r="169">
      <c r="C169" s="5"/>
      <c r="D169" s="5"/>
      <c r="E169" s="5"/>
      <c r="F169" s="5"/>
      <c r="G169" s="5"/>
      <c r="H169" s="5"/>
      <c r="I169" s="5"/>
      <c r="J169" s="5"/>
      <c r="K169" s="60"/>
      <c r="L169" s="60"/>
      <c r="M169" s="60"/>
      <c r="N169" s="60"/>
      <c r="O169" s="60"/>
    </row>
    <row r="170">
      <c r="B170" s="38" t="s">
        <v>238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8"/>
    </row>
    <row r="171">
      <c r="B171" s="36" t="s">
        <v>49</v>
      </c>
      <c r="C171" s="46" t="s">
        <v>61</v>
      </c>
      <c r="D171" s="42" t="s">
        <v>50</v>
      </c>
      <c r="E171" s="42" t="s">
        <v>51</v>
      </c>
      <c r="F171" s="42" t="s">
        <v>52</v>
      </c>
      <c r="G171" s="42" t="s">
        <v>53</v>
      </c>
      <c r="H171" s="42" t="s">
        <v>54</v>
      </c>
      <c r="I171" s="42" t="s">
        <v>55</v>
      </c>
      <c r="J171" s="42" t="s">
        <v>56</v>
      </c>
      <c r="K171" s="42" t="s">
        <v>57</v>
      </c>
      <c r="L171" s="42" t="s">
        <v>58</v>
      </c>
      <c r="M171" s="42" t="s">
        <v>59</v>
      </c>
      <c r="N171" s="42" t="s">
        <v>60</v>
      </c>
      <c r="O171" s="42" t="s">
        <v>61</v>
      </c>
    </row>
    <row r="172">
      <c r="B172" s="16" t="s">
        <v>228</v>
      </c>
      <c r="C172" s="31">
        <f t="shared" ref="C172:O172" si="36">C141</f>
        <v>93</v>
      </c>
      <c r="D172" s="31">
        <f t="shared" si="36"/>
        <v>102.0457217</v>
      </c>
      <c r="E172" s="31">
        <f t="shared" si="36"/>
        <v>110.2737258</v>
      </c>
      <c r="F172" s="31">
        <f t="shared" si="36"/>
        <v>117.7583415</v>
      </c>
      <c r="G172" s="31">
        <f t="shared" si="36"/>
        <v>126.3074808</v>
      </c>
      <c r="H172" s="31">
        <f t="shared" si="36"/>
        <v>134.0849483</v>
      </c>
      <c r="I172" s="31">
        <f t="shared" si="36"/>
        <v>141.1605938</v>
      </c>
      <c r="J172" s="31">
        <f t="shared" si="36"/>
        <v>149.3379123</v>
      </c>
      <c r="K172" s="31">
        <f t="shared" si="36"/>
        <v>156.7777669</v>
      </c>
      <c r="L172" s="31">
        <f t="shared" si="36"/>
        <v>163.546771</v>
      </c>
      <c r="M172" s="31">
        <f t="shared" si="36"/>
        <v>171.4452345</v>
      </c>
      <c r="N172" s="31">
        <f t="shared" si="36"/>
        <v>178.6317863</v>
      </c>
      <c r="O172" s="31">
        <f t="shared" si="36"/>
        <v>185.1706547</v>
      </c>
    </row>
    <row r="173">
      <c r="B173" s="36" t="s">
        <v>186</v>
      </c>
      <c r="C173" s="29">
        <v>15.0</v>
      </c>
      <c r="D173" s="29">
        <v>15.0</v>
      </c>
      <c r="E173" s="29">
        <v>15.0</v>
      </c>
      <c r="F173" s="29">
        <v>15.0</v>
      </c>
      <c r="G173" s="29">
        <v>15.0</v>
      </c>
      <c r="H173" s="29">
        <v>15.0</v>
      </c>
      <c r="I173" s="29">
        <v>15.0</v>
      </c>
      <c r="J173" s="29">
        <v>15.0</v>
      </c>
      <c r="K173" s="29">
        <v>15.0</v>
      </c>
      <c r="L173" s="29">
        <v>15.0</v>
      </c>
      <c r="M173" s="29">
        <v>15.0</v>
      </c>
      <c r="N173" s="29">
        <v>15.0</v>
      </c>
      <c r="O173" s="29">
        <v>15.0</v>
      </c>
    </row>
    <row r="174">
      <c r="B174" s="16" t="s">
        <v>187</v>
      </c>
      <c r="C174" s="31">
        <f t="shared" ref="C174:O174" si="37">C172/C173</f>
        <v>6.2</v>
      </c>
      <c r="D174" s="31">
        <f t="shared" si="37"/>
        <v>6.803048116</v>
      </c>
      <c r="E174" s="31">
        <f t="shared" si="37"/>
        <v>7.351581721</v>
      </c>
      <c r="F174" s="31">
        <f t="shared" si="37"/>
        <v>7.8505561</v>
      </c>
      <c r="G174" s="31">
        <f t="shared" si="37"/>
        <v>8.420498722</v>
      </c>
      <c r="H174" s="31">
        <f t="shared" si="37"/>
        <v>8.938996555</v>
      </c>
      <c r="I174" s="31">
        <f t="shared" si="37"/>
        <v>9.410706256</v>
      </c>
      <c r="J174" s="31">
        <f t="shared" si="37"/>
        <v>9.95586082</v>
      </c>
      <c r="K174" s="31">
        <f t="shared" si="37"/>
        <v>10.45185112</v>
      </c>
      <c r="L174" s="31">
        <f t="shared" si="37"/>
        <v>10.90311807</v>
      </c>
      <c r="M174" s="31">
        <f t="shared" si="37"/>
        <v>11.4296823</v>
      </c>
      <c r="N174" s="31">
        <f t="shared" si="37"/>
        <v>11.90878575</v>
      </c>
      <c r="O174" s="31">
        <f t="shared" si="37"/>
        <v>12.34471031</v>
      </c>
    </row>
    <row r="175">
      <c r="B175" s="16" t="s">
        <v>188</v>
      </c>
      <c r="C175" s="10">
        <v>5.0</v>
      </c>
      <c r="D175" s="48">
        <f t="shared" ref="D175:O175" si="38">count(D183:D197)</f>
        <v>7</v>
      </c>
      <c r="E175" s="48">
        <f t="shared" si="38"/>
        <v>7</v>
      </c>
      <c r="F175" s="48">
        <f t="shared" si="38"/>
        <v>8</v>
      </c>
      <c r="G175" s="48">
        <f t="shared" si="38"/>
        <v>9</v>
      </c>
      <c r="H175" s="48">
        <f t="shared" si="38"/>
        <v>9</v>
      </c>
      <c r="I175" s="48">
        <f t="shared" si="38"/>
        <v>10</v>
      </c>
      <c r="J175" s="48">
        <f t="shared" si="38"/>
        <v>10</v>
      </c>
      <c r="K175" s="48">
        <f t="shared" si="38"/>
        <v>11</v>
      </c>
      <c r="L175" s="48">
        <f t="shared" si="38"/>
        <v>11</v>
      </c>
      <c r="M175" s="48">
        <f t="shared" si="38"/>
        <v>12</v>
      </c>
      <c r="N175" s="48">
        <f t="shared" si="38"/>
        <v>13</v>
      </c>
      <c r="O175" s="48">
        <f t="shared" si="38"/>
        <v>13</v>
      </c>
    </row>
    <row r="176">
      <c r="B176" s="36" t="s">
        <v>164</v>
      </c>
      <c r="C176" s="31">
        <f t="shared" ref="C176:O176" si="39">C174-C175</f>
        <v>1.2</v>
      </c>
      <c r="D176" s="31">
        <f t="shared" si="39"/>
        <v>-0.1969518841</v>
      </c>
      <c r="E176" s="31">
        <f t="shared" si="39"/>
        <v>0.3515817205</v>
      </c>
      <c r="F176" s="31">
        <f t="shared" si="39"/>
        <v>-0.1494439002</v>
      </c>
      <c r="G176" s="31">
        <f t="shared" si="39"/>
        <v>-0.5795012784</v>
      </c>
      <c r="H176" s="31">
        <f t="shared" si="39"/>
        <v>-0.06100344544</v>
      </c>
      <c r="I176" s="31">
        <f t="shared" si="39"/>
        <v>-0.5892937439</v>
      </c>
      <c r="J176" s="31">
        <f t="shared" si="39"/>
        <v>-0.04413918035</v>
      </c>
      <c r="K176" s="31">
        <f t="shared" si="39"/>
        <v>-0.5481488755</v>
      </c>
      <c r="L176" s="31">
        <f t="shared" si="39"/>
        <v>-0.0968819313</v>
      </c>
      <c r="M176" s="31">
        <f t="shared" si="39"/>
        <v>-0.5703176997</v>
      </c>
      <c r="N176" s="31">
        <f t="shared" si="39"/>
        <v>-1.091214248</v>
      </c>
      <c r="O176" s="31">
        <f t="shared" si="39"/>
        <v>-0.6552896852</v>
      </c>
    </row>
    <row r="177">
      <c r="B177" s="16" t="s">
        <v>189</v>
      </c>
      <c r="C177" s="30">
        <f t="shared" ref="C177:O177" si="40">C172/C175</f>
        <v>18.6</v>
      </c>
      <c r="D177" s="30">
        <f t="shared" si="40"/>
        <v>14.57796025</v>
      </c>
      <c r="E177" s="30">
        <f t="shared" si="40"/>
        <v>15.7533894</v>
      </c>
      <c r="F177" s="30">
        <f t="shared" si="40"/>
        <v>14.71979269</v>
      </c>
      <c r="G177" s="30">
        <f t="shared" si="40"/>
        <v>14.03416454</v>
      </c>
      <c r="H177" s="30">
        <f t="shared" si="40"/>
        <v>14.89832759</v>
      </c>
      <c r="I177" s="30">
        <f t="shared" si="40"/>
        <v>14.11605938</v>
      </c>
      <c r="J177" s="30">
        <f t="shared" si="40"/>
        <v>14.93379123</v>
      </c>
      <c r="K177" s="30">
        <f t="shared" si="40"/>
        <v>14.25252426</v>
      </c>
      <c r="L177" s="30">
        <f t="shared" si="40"/>
        <v>14.86788828</v>
      </c>
      <c r="M177" s="30">
        <f t="shared" si="40"/>
        <v>14.28710288</v>
      </c>
      <c r="N177" s="30">
        <f t="shared" si="40"/>
        <v>13.74090664</v>
      </c>
      <c r="O177" s="30">
        <f t="shared" si="40"/>
        <v>14.24389652</v>
      </c>
    </row>
    <row r="179">
      <c r="B179" s="1"/>
      <c r="C179" s="38" t="s">
        <v>238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/>
    </row>
    <row r="180">
      <c r="C180" s="9" t="s">
        <v>44</v>
      </c>
      <c r="D180" s="40" t="s">
        <v>45</v>
      </c>
      <c r="E180" s="7"/>
      <c r="F180" s="8"/>
      <c r="G180" s="40" t="s">
        <v>46</v>
      </c>
      <c r="H180" s="7"/>
      <c r="I180" s="8"/>
      <c r="J180" s="40" t="s">
        <v>47</v>
      </c>
      <c r="K180" s="7"/>
      <c r="L180" s="8"/>
      <c r="M180" s="40" t="s">
        <v>48</v>
      </c>
      <c r="N180" s="7"/>
      <c r="O180" s="8"/>
    </row>
    <row r="181">
      <c r="C181" s="9" t="s">
        <v>49</v>
      </c>
      <c r="D181" s="17" t="s">
        <v>50</v>
      </c>
      <c r="E181" s="17" t="s">
        <v>51</v>
      </c>
      <c r="F181" s="17" t="s">
        <v>52</v>
      </c>
      <c r="G181" s="17" t="s">
        <v>53</v>
      </c>
      <c r="H181" s="17" t="s">
        <v>54</v>
      </c>
      <c r="I181" s="17" t="s">
        <v>55</v>
      </c>
      <c r="J181" s="17" t="s">
        <v>56</v>
      </c>
      <c r="K181" s="17" t="s">
        <v>57</v>
      </c>
      <c r="L181" s="17" t="s">
        <v>58</v>
      </c>
      <c r="M181" s="17" t="s">
        <v>59</v>
      </c>
      <c r="N181" s="17" t="s">
        <v>60</v>
      </c>
      <c r="O181" s="17" t="s">
        <v>61</v>
      </c>
    </row>
    <row r="182">
      <c r="C182" s="16" t="s">
        <v>239</v>
      </c>
      <c r="D182" s="24">
        <f t="shared" ref="D182:O182" si="41">SUM(D183:D193)</f>
        <v>24000</v>
      </c>
      <c r="E182" s="24">
        <f t="shared" si="41"/>
        <v>24500</v>
      </c>
      <c r="F182" s="24">
        <f t="shared" si="41"/>
        <v>27500</v>
      </c>
      <c r="G182" s="24">
        <f t="shared" si="41"/>
        <v>32500</v>
      </c>
      <c r="H182" s="24">
        <f t="shared" si="41"/>
        <v>32500</v>
      </c>
      <c r="I182" s="24">
        <f t="shared" si="41"/>
        <v>35500</v>
      </c>
      <c r="J182" s="24">
        <f t="shared" si="41"/>
        <v>39500</v>
      </c>
      <c r="K182" s="24">
        <f t="shared" si="41"/>
        <v>42500</v>
      </c>
      <c r="L182" s="24">
        <f t="shared" si="41"/>
        <v>42500</v>
      </c>
      <c r="M182" s="24">
        <f t="shared" si="41"/>
        <v>45500</v>
      </c>
      <c r="N182" s="24">
        <f t="shared" si="41"/>
        <v>45500</v>
      </c>
      <c r="O182" s="24">
        <f t="shared" si="41"/>
        <v>45500</v>
      </c>
    </row>
    <row r="183">
      <c r="C183" s="41" t="s">
        <v>240</v>
      </c>
      <c r="D183" s="50">
        <v>4000.0</v>
      </c>
      <c r="E183" s="50">
        <v>4000.0</v>
      </c>
      <c r="F183" s="50">
        <v>4000.0</v>
      </c>
      <c r="G183" s="50">
        <v>4000.0</v>
      </c>
      <c r="H183" s="50">
        <v>4000.0</v>
      </c>
      <c r="I183" s="50">
        <v>4000.0</v>
      </c>
      <c r="J183" s="50">
        <v>4500.0</v>
      </c>
      <c r="K183" s="50">
        <v>4500.0</v>
      </c>
      <c r="L183" s="50">
        <v>4500.0</v>
      </c>
      <c r="M183" s="50">
        <v>4500.0</v>
      </c>
      <c r="N183" s="50">
        <v>4500.0</v>
      </c>
      <c r="O183" s="50">
        <v>4500.0</v>
      </c>
    </row>
    <row r="184">
      <c r="C184" s="41" t="s">
        <v>241</v>
      </c>
      <c r="D184" s="50">
        <v>3500.0</v>
      </c>
      <c r="E184" s="50">
        <v>3500.0</v>
      </c>
      <c r="F184" s="50">
        <v>3500.0</v>
      </c>
      <c r="G184" s="50">
        <v>4000.0</v>
      </c>
      <c r="H184" s="50">
        <v>4000.0</v>
      </c>
      <c r="I184" s="50">
        <v>4000.0</v>
      </c>
      <c r="J184" s="50">
        <v>4500.0</v>
      </c>
      <c r="K184" s="50">
        <v>4500.0</v>
      </c>
      <c r="L184" s="50">
        <v>4500.0</v>
      </c>
      <c r="M184" s="50">
        <v>4500.0</v>
      </c>
      <c r="N184" s="50">
        <v>4500.0</v>
      </c>
      <c r="O184" s="50">
        <v>4500.0</v>
      </c>
    </row>
    <row r="185">
      <c r="C185" s="41" t="s">
        <v>242</v>
      </c>
      <c r="D185" s="50">
        <v>3500.0</v>
      </c>
      <c r="E185" s="50">
        <v>3500.0</v>
      </c>
      <c r="F185" s="50">
        <v>3500.0</v>
      </c>
      <c r="G185" s="50">
        <v>4000.0</v>
      </c>
      <c r="H185" s="50">
        <v>4000.0</v>
      </c>
      <c r="I185" s="50">
        <v>4000.0</v>
      </c>
      <c r="J185" s="50">
        <v>4500.0</v>
      </c>
      <c r="K185" s="50">
        <v>4500.0</v>
      </c>
      <c r="L185" s="50">
        <v>4500.0</v>
      </c>
      <c r="M185" s="50">
        <v>5000.0</v>
      </c>
      <c r="N185" s="50">
        <v>5000.0</v>
      </c>
      <c r="O185" s="50">
        <v>5000.0</v>
      </c>
    </row>
    <row r="186">
      <c r="C186" s="41" t="s">
        <v>243</v>
      </c>
      <c r="D186" s="50">
        <v>3500.0</v>
      </c>
      <c r="E186" s="50">
        <v>4000.0</v>
      </c>
      <c r="F186" s="50">
        <v>4000.0</v>
      </c>
      <c r="G186" s="50">
        <v>4000.0</v>
      </c>
      <c r="H186" s="50">
        <v>4000.0</v>
      </c>
      <c r="I186" s="50">
        <v>4000.0</v>
      </c>
      <c r="J186" s="50">
        <v>4500.0</v>
      </c>
      <c r="K186" s="50">
        <v>4500.0</v>
      </c>
      <c r="L186" s="50">
        <v>4500.0</v>
      </c>
      <c r="M186" s="50">
        <v>5000.0</v>
      </c>
      <c r="N186" s="50">
        <v>5000.0</v>
      </c>
      <c r="O186" s="50">
        <v>5000.0</v>
      </c>
    </row>
    <row r="187">
      <c r="C187" s="41" t="s">
        <v>244</v>
      </c>
      <c r="D187" s="50">
        <v>3500.0</v>
      </c>
      <c r="E187" s="50">
        <v>3500.0</v>
      </c>
      <c r="F187" s="50">
        <v>3500.0</v>
      </c>
      <c r="G187" s="50">
        <v>4000.0</v>
      </c>
      <c r="H187" s="50">
        <v>4000.0</v>
      </c>
      <c r="I187" s="50">
        <v>4000.0</v>
      </c>
      <c r="J187" s="50">
        <v>4500.0</v>
      </c>
      <c r="K187" s="50">
        <v>4500.0</v>
      </c>
      <c r="L187" s="50">
        <v>4500.0</v>
      </c>
      <c r="M187" s="50">
        <v>5000.0</v>
      </c>
      <c r="N187" s="50">
        <v>5000.0</v>
      </c>
      <c r="O187" s="50">
        <v>5000.0</v>
      </c>
    </row>
    <row r="188">
      <c r="C188" s="52" t="s">
        <v>245</v>
      </c>
      <c r="D188" s="24">
        <v>3000.0</v>
      </c>
      <c r="E188" s="24">
        <v>3000.0</v>
      </c>
      <c r="F188" s="24">
        <v>3000.0</v>
      </c>
      <c r="G188" s="50">
        <v>3500.0</v>
      </c>
      <c r="H188" s="50">
        <v>3500.0</v>
      </c>
      <c r="I188" s="50">
        <v>3500.0</v>
      </c>
      <c r="J188" s="50">
        <v>3500.0</v>
      </c>
      <c r="K188" s="50">
        <v>3500.0</v>
      </c>
      <c r="L188" s="50">
        <v>3500.0</v>
      </c>
      <c r="M188" s="24">
        <v>4000.0</v>
      </c>
      <c r="N188" s="24">
        <v>4000.0</v>
      </c>
      <c r="O188" s="24">
        <v>4000.0</v>
      </c>
    </row>
    <row r="189">
      <c r="C189" s="52" t="s">
        <v>246</v>
      </c>
      <c r="D189" s="24">
        <v>3000.0</v>
      </c>
      <c r="E189" s="50">
        <v>3000.0</v>
      </c>
      <c r="F189" s="50">
        <v>3000.0</v>
      </c>
      <c r="G189" s="50">
        <v>3000.0</v>
      </c>
      <c r="H189" s="50">
        <v>3000.0</v>
      </c>
      <c r="I189" s="50">
        <v>3000.0</v>
      </c>
      <c r="J189" s="24">
        <v>4000.0</v>
      </c>
      <c r="K189" s="24">
        <v>4000.0</v>
      </c>
      <c r="L189" s="24">
        <v>4000.0</v>
      </c>
      <c r="M189" s="24">
        <v>4000.0</v>
      </c>
      <c r="N189" s="24">
        <v>4000.0</v>
      </c>
      <c r="O189" s="24">
        <v>4000.0</v>
      </c>
    </row>
    <row r="190">
      <c r="C190" s="52" t="s">
        <v>199</v>
      </c>
      <c r="D190" s="50"/>
      <c r="E190" s="50"/>
      <c r="F190" s="50">
        <v>3000.0</v>
      </c>
      <c r="G190" s="50">
        <v>3000.0</v>
      </c>
      <c r="H190" s="50">
        <v>3000.0</v>
      </c>
      <c r="I190" s="50">
        <v>3000.0</v>
      </c>
      <c r="J190" s="50">
        <v>3500.0</v>
      </c>
      <c r="K190" s="50">
        <v>3500.0</v>
      </c>
      <c r="L190" s="50">
        <v>3500.0</v>
      </c>
      <c r="M190" s="50">
        <v>3500.0</v>
      </c>
      <c r="N190" s="50">
        <v>3500.0</v>
      </c>
      <c r="O190" s="50">
        <v>3500.0</v>
      </c>
    </row>
    <row r="191">
      <c r="C191" s="52" t="s">
        <v>200</v>
      </c>
      <c r="D191" s="50"/>
      <c r="E191" s="50"/>
      <c r="F191" s="50"/>
      <c r="G191" s="50">
        <v>3000.0</v>
      </c>
      <c r="H191" s="50">
        <v>3000.0</v>
      </c>
      <c r="I191" s="50">
        <v>3000.0</v>
      </c>
      <c r="J191" s="50">
        <v>3000.0</v>
      </c>
      <c r="K191" s="50">
        <v>3000.0</v>
      </c>
      <c r="L191" s="50">
        <v>3000.0</v>
      </c>
      <c r="M191" s="50">
        <v>3500.0</v>
      </c>
      <c r="N191" s="50">
        <v>3500.0</v>
      </c>
      <c r="O191" s="50">
        <v>3500.0</v>
      </c>
    </row>
    <row r="192">
      <c r="C192" s="52" t="s">
        <v>201</v>
      </c>
      <c r="D192" s="42"/>
      <c r="E192" s="42"/>
      <c r="F192" s="42"/>
      <c r="G192" s="50"/>
      <c r="H192" s="50"/>
      <c r="I192" s="50">
        <v>3000.0</v>
      </c>
      <c r="J192" s="50">
        <v>3000.0</v>
      </c>
      <c r="K192" s="50">
        <v>3000.0</v>
      </c>
      <c r="L192" s="50">
        <v>3000.0</v>
      </c>
      <c r="M192" s="50">
        <v>3500.0</v>
      </c>
      <c r="N192" s="50">
        <v>3500.0</v>
      </c>
      <c r="O192" s="50">
        <v>3500.0</v>
      </c>
    </row>
    <row r="193">
      <c r="C193" s="41" t="s">
        <v>202</v>
      </c>
      <c r="D193" s="42"/>
      <c r="E193" s="42"/>
      <c r="F193" s="42"/>
      <c r="G193" s="42"/>
      <c r="H193" s="42"/>
      <c r="I193" s="50"/>
      <c r="J193" s="24"/>
      <c r="K193" s="50">
        <v>3000.0</v>
      </c>
      <c r="L193" s="50">
        <v>3000.0</v>
      </c>
      <c r="M193" s="50">
        <v>3000.0</v>
      </c>
      <c r="N193" s="50">
        <v>3000.0</v>
      </c>
      <c r="O193" s="50">
        <v>3000.0</v>
      </c>
    </row>
    <row r="194">
      <c r="C194" s="41" t="s">
        <v>203</v>
      </c>
      <c r="D194" s="23"/>
      <c r="E194" s="23"/>
      <c r="F194" s="23"/>
      <c r="G194" s="23"/>
      <c r="H194" s="23"/>
      <c r="I194" s="23"/>
      <c r="J194" s="23"/>
      <c r="K194" s="24"/>
      <c r="L194" s="24"/>
      <c r="M194" s="24">
        <v>3000.0</v>
      </c>
      <c r="N194" s="24">
        <v>3000.0</v>
      </c>
      <c r="O194" s="24">
        <v>3000.0</v>
      </c>
    </row>
    <row r="195">
      <c r="C195" s="41" t="s">
        <v>204</v>
      </c>
      <c r="D195" s="23"/>
      <c r="E195" s="23"/>
      <c r="F195" s="23"/>
      <c r="G195" s="23"/>
      <c r="H195" s="23"/>
      <c r="I195" s="23"/>
      <c r="J195" s="23"/>
      <c r="K195" s="23"/>
      <c r="L195" s="24"/>
      <c r="M195" s="24"/>
      <c r="N195" s="24">
        <v>3000.0</v>
      </c>
      <c r="O195" s="24">
        <v>3000.0</v>
      </c>
    </row>
    <row r="196">
      <c r="C196" s="41" t="s">
        <v>205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4"/>
      <c r="N196" s="24"/>
      <c r="O196" s="24"/>
    </row>
    <row r="197">
      <c r="C197" s="41" t="s">
        <v>206</v>
      </c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24"/>
    </row>
    <row r="198">
      <c r="C198" s="5"/>
      <c r="D198" s="5"/>
      <c r="E198" s="5"/>
      <c r="F198" s="5"/>
      <c r="G198" s="5"/>
      <c r="H198" s="5"/>
      <c r="I198" s="5"/>
      <c r="J198" s="5"/>
      <c r="K198" s="60"/>
      <c r="L198" s="60"/>
      <c r="M198" s="60"/>
      <c r="N198" s="60"/>
      <c r="O198" s="60"/>
    </row>
    <row r="199">
      <c r="B199" s="38" t="s">
        <v>247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</row>
    <row r="200">
      <c r="B200" s="16" t="s">
        <v>49</v>
      </c>
      <c r="C200" s="16" t="s">
        <v>61</v>
      </c>
      <c r="D200" s="10" t="s">
        <v>50</v>
      </c>
      <c r="E200" s="10" t="s">
        <v>51</v>
      </c>
      <c r="F200" s="10" t="s">
        <v>52</v>
      </c>
      <c r="G200" s="10" t="s">
        <v>53</v>
      </c>
      <c r="H200" s="10" t="s">
        <v>54</v>
      </c>
      <c r="I200" s="10" t="s">
        <v>55</v>
      </c>
      <c r="J200" s="10" t="s">
        <v>56</v>
      </c>
      <c r="K200" s="10" t="s">
        <v>57</v>
      </c>
      <c r="L200" s="10" t="s">
        <v>58</v>
      </c>
      <c r="M200" s="10" t="s">
        <v>59</v>
      </c>
      <c r="N200" s="10" t="s">
        <v>60</v>
      </c>
      <c r="O200" s="10" t="s">
        <v>61</v>
      </c>
    </row>
    <row r="201">
      <c r="B201" s="16" t="s">
        <v>248</v>
      </c>
      <c r="C201" s="24">
        <v>60000.0</v>
      </c>
      <c r="D201" s="24">
        <f>Revenue!D22</f>
        <v>84600</v>
      </c>
      <c r="E201" s="24">
        <f>Revenue!E22</f>
        <v>106986</v>
      </c>
      <c r="F201" s="24">
        <f>Revenue!F22</f>
        <v>127357.26</v>
      </c>
      <c r="G201" s="24">
        <f>Revenue!G22</f>
        <v>148895.1066</v>
      </c>
      <c r="H201" s="24">
        <f>Revenue!H22</f>
        <v>168494.547</v>
      </c>
      <c r="I201" s="24">
        <f>Revenue!I22</f>
        <v>186330.0378</v>
      </c>
      <c r="J201" s="24">
        <f>Revenue!J22</f>
        <v>205560.3344</v>
      </c>
      <c r="K201" s="24">
        <f>Revenue!K22</f>
        <v>223059.9043</v>
      </c>
      <c r="L201" s="24">
        <f>Revenue!L22</f>
        <v>238984.5129</v>
      </c>
      <c r="M201" s="24">
        <f>Revenue!M22</f>
        <v>256475.9067</v>
      </c>
      <c r="N201" s="24">
        <f>Revenue!N22</f>
        <v>272393.0751</v>
      </c>
      <c r="O201" s="24">
        <f>Revenue!O22</f>
        <v>286877.6984</v>
      </c>
      <c r="P201" s="21">
        <f>SUM(D201:O201)</f>
        <v>2306014.383</v>
      </c>
    </row>
    <row r="202">
      <c r="B202" s="16" t="s">
        <v>249</v>
      </c>
      <c r="C202" s="29">
        <v>11.0</v>
      </c>
      <c r="D202" s="31">
        <f>Revenue!D24</f>
        <v>13.16</v>
      </c>
      <c r="E202" s="31">
        <f>Revenue!E24</f>
        <v>15.08633298</v>
      </c>
      <c r="F202" s="31">
        <f>Revenue!F24</f>
        <v>16.81504542</v>
      </c>
      <c r="G202" s="31">
        <f>Revenue!G24</f>
        <v>18.677245</v>
      </c>
      <c r="H202" s="31">
        <f>Revenue!H24</f>
        <v>20.35813942</v>
      </c>
      <c r="I202" s="31">
        <f>Revenue!I24</f>
        <v>21.87762437</v>
      </c>
      <c r="J202" s="31">
        <f>Revenue!J24</f>
        <v>23.55592181</v>
      </c>
      <c r="K202" s="31">
        <f>Revenue!K24</f>
        <v>25.07612574</v>
      </c>
      <c r="L202" s="31">
        <f>Revenue!L24</f>
        <v>26.45391984</v>
      </c>
      <c r="M202" s="31">
        <f>Revenue!M24</f>
        <v>28.00533394</v>
      </c>
      <c r="N202" s="31">
        <f>Revenue!N24</f>
        <v>29.41286185</v>
      </c>
      <c r="O202" s="31">
        <f>Revenue!O24</f>
        <v>30.69020443</v>
      </c>
    </row>
    <row r="203">
      <c r="B203" s="16" t="s">
        <v>186</v>
      </c>
      <c r="C203" s="29">
        <v>10.0</v>
      </c>
      <c r="D203" s="29">
        <v>10.0</v>
      </c>
      <c r="E203" s="29">
        <v>10.0</v>
      </c>
      <c r="F203" s="29">
        <v>10.0</v>
      </c>
      <c r="G203" s="29">
        <v>10.0</v>
      </c>
      <c r="H203" s="29">
        <v>10.0</v>
      </c>
      <c r="I203" s="29">
        <v>10.0</v>
      </c>
      <c r="J203" s="29">
        <v>10.0</v>
      </c>
      <c r="K203" s="29">
        <v>10.0</v>
      </c>
      <c r="L203" s="29">
        <v>10.0</v>
      </c>
      <c r="M203" s="29">
        <v>10.0</v>
      </c>
      <c r="N203" s="29">
        <v>10.0</v>
      </c>
      <c r="O203" s="29">
        <v>10.0</v>
      </c>
    </row>
    <row r="204">
      <c r="B204" s="16" t="s">
        <v>162</v>
      </c>
      <c r="C204" s="29">
        <f t="shared" ref="C204:O204" si="42">C202/C203</f>
        <v>1.1</v>
      </c>
      <c r="D204" s="29">
        <f t="shared" si="42"/>
        <v>1.316</v>
      </c>
      <c r="E204" s="29">
        <f t="shared" si="42"/>
        <v>1.508633298</v>
      </c>
      <c r="F204" s="29">
        <f t="shared" si="42"/>
        <v>1.681504542</v>
      </c>
      <c r="G204" s="29">
        <f t="shared" si="42"/>
        <v>1.8677245</v>
      </c>
      <c r="H204" s="29">
        <f t="shared" si="42"/>
        <v>2.035813942</v>
      </c>
      <c r="I204" s="29">
        <f t="shared" si="42"/>
        <v>2.187762437</v>
      </c>
      <c r="J204" s="29">
        <f t="shared" si="42"/>
        <v>2.355592181</v>
      </c>
      <c r="K204" s="29">
        <f t="shared" si="42"/>
        <v>2.507612574</v>
      </c>
      <c r="L204" s="29">
        <f t="shared" si="42"/>
        <v>2.645391984</v>
      </c>
      <c r="M204" s="29">
        <f t="shared" si="42"/>
        <v>2.800533394</v>
      </c>
      <c r="N204" s="29">
        <f t="shared" si="42"/>
        <v>2.941286185</v>
      </c>
      <c r="O204" s="29">
        <f t="shared" si="42"/>
        <v>3.069020443</v>
      </c>
    </row>
    <row r="205">
      <c r="B205" s="16" t="s">
        <v>163</v>
      </c>
      <c r="C205" s="29">
        <v>1.0</v>
      </c>
      <c r="D205" s="31">
        <f t="shared" ref="D205:O205" si="43">count(D214:D220)</f>
        <v>2</v>
      </c>
      <c r="E205" s="31">
        <f t="shared" si="43"/>
        <v>2</v>
      </c>
      <c r="F205" s="31">
        <f t="shared" si="43"/>
        <v>2</v>
      </c>
      <c r="G205" s="31">
        <f t="shared" si="43"/>
        <v>3</v>
      </c>
      <c r="H205" s="31">
        <f t="shared" si="43"/>
        <v>3</v>
      </c>
      <c r="I205" s="31">
        <f t="shared" si="43"/>
        <v>3</v>
      </c>
      <c r="J205" s="31">
        <f t="shared" si="43"/>
        <v>4</v>
      </c>
      <c r="K205" s="31">
        <f t="shared" si="43"/>
        <v>4</v>
      </c>
      <c r="L205" s="31">
        <f t="shared" si="43"/>
        <v>4</v>
      </c>
      <c r="M205" s="31">
        <f t="shared" si="43"/>
        <v>5</v>
      </c>
      <c r="N205" s="31">
        <f t="shared" si="43"/>
        <v>5</v>
      </c>
      <c r="O205" s="31">
        <f t="shared" si="43"/>
        <v>5</v>
      </c>
    </row>
    <row r="206">
      <c r="B206" s="16" t="s">
        <v>164</v>
      </c>
      <c r="C206" s="31">
        <f t="shared" ref="C206:O206" si="44">C204-C205</f>
        <v>0.1</v>
      </c>
      <c r="D206" s="31">
        <f t="shared" si="44"/>
        <v>-0.684</v>
      </c>
      <c r="E206" s="31">
        <f t="shared" si="44"/>
        <v>-0.4913667016</v>
      </c>
      <c r="F206" s="31">
        <f t="shared" si="44"/>
        <v>-0.3184954577</v>
      </c>
      <c r="G206" s="31">
        <f t="shared" si="44"/>
        <v>-1.1322755</v>
      </c>
      <c r="H206" s="31">
        <f t="shared" si="44"/>
        <v>-0.9641860576</v>
      </c>
      <c r="I206" s="31">
        <f t="shared" si="44"/>
        <v>-0.8122375627</v>
      </c>
      <c r="J206" s="31">
        <f t="shared" si="44"/>
        <v>-1.644407819</v>
      </c>
      <c r="K206" s="31">
        <f t="shared" si="44"/>
        <v>-1.492387426</v>
      </c>
      <c r="L206" s="31">
        <f t="shared" si="44"/>
        <v>-1.354608016</v>
      </c>
      <c r="M206" s="31">
        <f t="shared" si="44"/>
        <v>-2.199466606</v>
      </c>
      <c r="N206" s="31">
        <f t="shared" si="44"/>
        <v>-2.058713815</v>
      </c>
      <c r="O206" s="31">
        <f t="shared" si="44"/>
        <v>-1.930979557</v>
      </c>
    </row>
    <row r="207">
      <c r="B207" s="16" t="s">
        <v>210</v>
      </c>
      <c r="C207" s="31">
        <f t="shared" ref="C207:O207" si="45">C202/C205</f>
        <v>11</v>
      </c>
      <c r="D207" s="31">
        <f t="shared" si="45"/>
        <v>6.58</v>
      </c>
      <c r="E207" s="31">
        <f t="shared" si="45"/>
        <v>7.543166492</v>
      </c>
      <c r="F207" s="31">
        <f t="shared" si="45"/>
        <v>8.407522712</v>
      </c>
      <c r="G207" s="31">
        <f t="shared" si="45"/>
        <v>6.225748333</v>
      </c>
      <c r="H207" s="31">
        <f t="shared" si="45"/>
        <v>6.786046475</v>
      </c>
      <c r="I207" s="31">
        <f t="shared" si="45"/>
        <v>7.292541458</v>
      </c>
      <c r="J207" s="31">
        <f t="shared" si="45"/>
        <v>5.888980452</v>
      </c>
      <c r="K207" s="31">
        <f t="shared" si="45"/>
        <v>6.269031435</v>
      </c>
      <c r="L207" s="31">
        <f t="shared" si="45"/>
        <v>6.61347996</v>
      </c>
      <c r="M207" s="31">
        <f t="shared" si="45"/>
        <v>5.601066788</v>
      </c>
      <c r="N207" s="31">
        <f t="shared" si="45"/>
        <v>5.88257237</v>
      </c>
      <c r="O207" s="31">
        <f t="shared" si="45"/>
        <v>6.138040886</v>
      </c>
    </row>
    <row r="208">
      <c r="B208" s="16" t="s">
        <v>211</v>
      </c>
      <c r="C208" s="31">
        <f t="shared" ref="C208:O208" si="46">C201/C205</f>
        <v>60000</v>
      </c>
      <c r="D208" s="31">
        <f t="shared" si="46"/>
        <v>42300</v>
      </c>
      <c r="E208" s="31">
        <f t="shared" si="46"/>
        <v>53493</v>
      </c>
      <c r="F208" s="31">
        <f t="shared" si="46"/>
        <v>63678.63</v>
      </c>
      <c r="G208" s="31">
        <f t="shared" si="46"/>
        <v>49631.7022</v>
      </c>
      <c r="H208" s="31">
        <f t="shared" si="46"/>
        <v>56164.849</v>
      </c>
      <c r="I208" s="31">
        <f t="shared" si="46"/>
        <v>62110.01259</v>
      </c>
      <c r="J208" s="31">
        <f t="shared" si="46"/>
        <v>51390.08359</v>
      </c>
      <c r="K208" s="31">
        <f t="shared" si="46"/>
        <v>55764.97607</v>
      </c>
      <c r="L208" s="31">
        <f t="shared" si="46"/>
        <v>59746.12822</v>
      </c>
      <c r="M208" s="31">
        <f t="shared" si="46"/>
        <v>51295.18135</v>
      </c>
      <c r="N208" s="31">
        <f t="shared" si="46"/>
        <v>54478.61503</v>
      </c>
      <c r="O208" s="31">
        <f t="shared" si="46"/>
        <v>57375.53967</v>
      </c>
    </row>
    <row r="210">
      <c r="C210" s="38" t="s">
        <v>250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8"/>
    </row>
    <row r="211">
      <c r="C211" s="9" t="s">
        <v>44</v>
      </c>
      <c r="D211" s="40" t="s">
        <v>45</v>
      </c>
      <c r="E211" s="7"/>
      <c r="F211" s="8"/>
      <c r="G211" s="40" t="s">
        <v>46</v>
      </c>
      <c r="H211" s="7"/>
      <c r="I211" s="8"/>
      <c r="J211" s="40" t="s">
        <v>47</v>
      </c>
      <c r="K211" s="7"/>
      <c r="L211" s="8"/>
      <c r="M211" s="40" t="s">
        <v>48</v>
      </c>
      <c r="N211" s="7"/>
      <c r="O211" s="8"/>
    </row>
    <row r="212">
      <c r="C212" s="9" t="s">
        <v>49</v>
      </c>
      <c r="D212" s="17" t="s">
        <v>50</v>
      </c>
      <c r="E212" s="17" t="s">
        <v>51</v>
      </c>
      <c r="F212" s="17" t="s">
        <v>52</v>
      </c>
      <c r="G212" s="17" t="s">
        <v>53</v>
      </c>
      <c r="H212" s="17" t="s">
        <v>54</v>
      </c>
      <c r="I212" s="17" t="s">
        <v>55</v>
      </c>
      <c r="J212" s="17" t="s">
        <v>56</v>
      </c>
      <c r="K212" s="17" t="s">
        <v>57</v>
      </c>
      <c r="L212" s="17" t="s">
        <v>58</v>
      </c>
      <c r="M212" s="17" t="s">
        <v>59</v>
      </c>
      <c r="N212" s="17" t="s">
        <v>60</v>
      </c>
      <c r="O212" s="17" t="s">
        <v>61</v>
      </c>
    </row>
    <row r="213">
      <c r="C213" s="16" t="s">
        <v>251</v>
      </c>
      <c r="D213" s="24">
        <f t="shared" ref="D213:O213" si="47">SUM(D214:D220)</f>
        <v>10000</v>
      </c>
      <c r="E213" s="24">
        <f t="shared" si="47"/>
        <v>10000</v>
      </c>
      <c r="F213" s="24">
        <f t="shared" si="47"/>
        <v>10000</v>
      </c>
      <c r="G213" s="24">
        <f t="shared" si="47"/>
        <v>15000</v>
      </c>
      <c r="H213" s="24">
        <f t="shared" si="47"/>
        <v>15000</v>
      </c>
      <c r="I213" s="24">
        <f t="shared" si="47"/>
        <v>15000</v>
      </c>
      <c r="J213" s="24">
        <f t="shared" si="47"/>
        <v>20000</v>
      </c>
      <c r="K213" s="24">
        <f t="shared" si="47"/>
        <v>20000</v>
      </c>
      <c r="L213" s="24">
        <f t="shared" si="47"/>
        <v>20000</v>
      </c>
      <c r="M213" s="24">
        <f t="shared" si="47"/>
        <v>25000</v>
      </c>
      <c r="N213" s="24">
        <f t="shared" si="47"/>
        <v>25000</v>
      </c>
      <c r="O213" s="24">
        <f t="shared" si="47"/>
        <v>25000</v>
      </c>
    </row>
    <row r="214">
      <c r="C214" s="16" t="s">
        <v>252</v>
      </c>
      <c r="D214" s="50">
        <v>5000.0</v>
      </c>
      <c r="E214" s="50">
        <v>5000.0</v>
      </c>
      <c r="F214" s="50">
        <v>5000.0</v>
      </c>
      <c r="G214" s="50">
        <v>5000.0</v>
      </c>
      <c r="H214" s="50">
        <v>5000.0</v>
      </c>
      <c r="I214" s="50">
        <v>5000.0</v>
      </c>
      <c r="J214" s="50">
        <v>5000.0</v>
      </c>
      <c r="K214" s="50">
        <v>5000.0</v>
      </c>
      <c r="L214" s="50">
        <v>5000.0</v>
      </c>
      <c r="M214" s="50">
        <v>5000.0</v>
      </c>
      <c r="N214" s="50">
        <v>5000.0</v>
      </c>
      <c r="O214" s="50">
        <v>5000.0</v>
      </c>
    </row>
    <row r="215">
      <c r="C215" s="16" t="s">
        <v>245</v>
      </c>
      <c r="D215" s="50">
        <v>5000.0</v>
      </c>
      <c r="E215" s="50">
        <v>5000.0</v>
      </c>
      <c r="F215" s="50">
        <v>5000.0</v>
      </c>
      <c r="G215" s="50">
        <v>5000.0</v>
      </c>
      <c r="H215" s="50">
        <v>5000.0</v>
      </c>
      <c r="I215" s="50">
        <v>5000.0</v>
      </c>
      <c r="J215" s="50">
        <v>5000.0</v>
      </c>
      <c r="K215" s="50">
        <v>5000.0</v>
      </c>
      <c r="L215" s="50">
        <v>5000.0</v>
      </c>
      <c r="M215" s="50">
        <v>5000.0</v>
      </c>
      <c r="N215" s="50">
        <v>5000.0</v>
      </c>
      <c r="O215" s="50">
        <v>5000.0</v>
      </c>
    </row>
    <row r="216">
      <c r="C216" s="16" t="s">
        <v>246</v>
      </c>
      <c r="D216" s="42"/>
      <c r="E216" s="42"/>
      <c r="F216" s="42"/>
      <c r="G216" s="50">
        <v>5000.0</v>
      </c>
      <c r="H216" s="50">
        <v>5000.0</v>
      </c>
      <c r="I216" s="50">
        <v>5000.0</v>
      </c>
      <c r="J216" s="50">
        <v>5000.0</v>
      </c>
      <c r="K216" s="50">
        <v>5000.0</v>
      </c>
      <c r="L216" s="50">
        <v>5000.0</v>
      </c>
      <c r="M216" s="50">
        <v>5000.0</v>
      </c>
      <c r="N216" s="50">
        <v>5000.0</v>
      </c>
      <c r="O216" s="50">
        <v>5000.0</v>
      </c>
    </row>
    <row r="217">
      <c r="C217" s="16" t="s">
        <v>199</v>
      </c>
      <c r="D217" s="42"/>
      <c r="E217" s="42"/>
      <c r="F217" s="42"/>
      <c r="G217" s="42"/>
      <c r="H217" s="42"/>
      <c r="I217" s="42"/>
      <c r="J217" s="50">
        <v>5000.0</v>
      </c>
      <c r="K217" s="50">
        <v>5000.0</v>
      </c>
      <c r="L217" s="50">
        <v>5000.0</v>
      </c>
      <c r="M217" s="50">
        <v>5000.0</v>
      </c>
      <c r="N217" s="50">
        <v>5000.0</v>
      </c>
      <c r="O217" s="50">
        <v>5000.0</v>
      </c>
    </row>
    <row r="218">
      <c r="C218" s="16" t="s">
        <v>200</v>
      </c>
      <c r="D218" s="42"/>
      <c r="E218" s="42"/>
      <c r="F218" s="42"/>
      <c r="G218" s="42"/>
      <c r="H218" s="42"/>
      <c r="I218" s="42"/>
      <c r="J218" s="42"/>
      <c r="K218" s="50"/>
      <c r="L218" s="50"/>
      <c r="M218" s="50">
        <v>5000.0</v>
      </c>
      <c r="N218" s="50">
        <v>5000.0</v>
      </c>
      <c r="O218" s="50">
        <v>5000.0</v>
      </c>
    </row>
    <row r="219">
      <c r="C219" s="16" t="s">
        <v>201</v>
      </c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>
      <c r="C220" s="16" t="s">
        <v>202</v>
      </c>
      <c r="D220" s="42"/>
      <c r="E220" s="42"/>
      <c r="F220" s="50"/>
      <c r="G220" s="50"/>
      <c r="H220" s="50"/>
      <c r="I220" s="50"/>
      <c r="J220" s="50"/>
      <c r="K220" s="50"/>
      <c r="L220" s="50"/>
      <c r="M220" s="50"/>
      <c r="N220" s="50"/>
      <c r="O220" s="50"/>
    </row>
    <row r="221">
      <c r="C221" s="1"/>
      <c r="D221" s="60"/>
      <c r="E221" s="60"/>
      <c r="F221" s="60"/>
      <c r="G221" s="61"/>
      <c r="H221" s="61"/>
      <c r="I221" s="61"/>
      <c r="J221" s="61"/>
      <c r="K221" s="61"/>
      <c r="L221" s="61"/>
      <c r="M221" s="61"/>
      <c r="N221" s="61"/>
      <c r="O221" s="61"/>
    </row>
    <row r="222">
      <c r="B222" s="62" t="s">
        <v>253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8"/>
    </row>
    <row r="223">
      <c r="B223" s="36" t="s">
        <v>49</v>
      </c>
      <c r="C223" s="46" t="s">
        <v>61</v>
      </c>
      <c r="D223" s="42" t="s">
        <v>50</v>
      </c>
      <c r="E223" s="42" t="s">
        <v>51</v>
      </c>
      <c r="F223" s="42" t="s">
        <v>52</v>
      </c>
      <c r="G223" s="42" t="s">
        <v>53</v>
      </c>
      <c r="H223" s="42" t="s">
        <v>54</v>
      </c>
      <c r="I223" s="42" t="s">
        <v>55</v>
      </c>
      <c r="J223" s="42" t="s">
        <v>56</v>
      </c>
      <c r="K223" s="42" t="s">
        <v>57</v>
      </c>
      <c r="L223" s="42" t="s">
        <v>58</v>
      </c>
      <c r="M223" s="42" t="s">
        <v>59</v>
      </c>
      <c r="N223" s="42" t="s">
        <v>60</v>
      </c>
      <c r="O223" s="42" t="s">
        <v>61</v>
      </c>
    </row>
    <row r="224">
      <c r="B224" s="16" t="s">
        <v>254</v>
      </c>
      <c r="C224" s="23">
        <f>Revenue!C27</f>
        <v>105000</v>
      </c>
      <c r="D224" s="23">
        <f>Revenue!D27</f>
        <v>115550</v>
      </c>
      <c r="E224" s="23">
        <f>Revenue!E27</f>
        <v>125150.5</v>
      </c>
      <c r="F224" s="23">
        <f>Revenue!F27</f>
        <v>133886.955</v>
      </c>
      <c r="G224" s="23">
        <f>Revenue!G27</f>
        <v>143837.1291</v>
      </c>
      <c r="H224" s="23">
        <f>Revenue!H27</f>
        <v>152891.7874</v>
      </c>
      <c r="I224" s="23">
        <f>Revenue!I27</f>
        <v>161131.5266</v>
      </c>
      <c r="J224" s="23">
        <f>Revenue!J27</f>
        <v>170629.6892</v>
      </c>
      <c r="K224" s="23">
        <f>Revenue!K27</f>
        <v>179273.0171</v>
      </c>
      <c r="L224" s="23">
        <f>Revenue!L27</f>
        <v>187138.4456</v>
      </c>
      <c r="M224" s="23">
        <f>Revenue!M27</f>
        <v>196295.9855</v>
      </c>
      <c r="N224" s="23">
        <f>Revenue!N27</f>
        <v>204629.3468</v>
      </c>
      <c r="O224" s="23">
        <f>Revenue!O27</f>
        <v>212212.7056</v>
      </c>
      <c r="P224" s="21">
        <f>SUM(D224:O224)</f>
        <v>1982627.088</v>
      </c>
    </row>
    <row r="225">
      <c r="B225" s="16" t="s">
        <v>255</v>
      </c>
      <c r="C225" s="31">
        <f>Revenue!C29</f>
        <v>78</v>
      </c>
      <c r="D225" s="31">
        <f>Revenue!D29</f>
        <v>82.37431111</v>
      </c>
      <c r="E225" s="31">
        <f>Revenue!E29</f>
        <v>86.3131489</v>
      </c>
      <c r="F225" s="31">
        <f>Revenue!F29</f>
        <v>89.86422724</v>
      </c>
      <c r="G225" s="31">
        <f>Revenue!G29</f>
        <v>94.19532126</v>
      </c>
      <c r="H225" s="31">
        <f>Revenue!H29</f>
        <v>98.11052887</v>
      </c>
      <c r="I225" s="31">
        <f>Revenue!I29</f>
        <v>101.6519122</v>
      </c>
      <c r="J225" s="31">
        <f>Revenue!J29</f>
        <v>105.97815</v>
      </c>
      <c r="K225" s="31">
        <f>Revenue!K29</f>
        <v>109.8975685</v>
      </c>
      <c r="L225" s="31">
        <f>Revenue!L29</f>
        <v>113.4495849</v>
      </c>
      <c r="M225" s="31">
        <f>Revenue!M29</f>
        <v>117.7876871</v>
      </c>
      <c r="N225" s="31">
        <f>Revenue!N29</f>
        <v>121.723182</v>
      </c>
      <c r="O225" s="31">
        <f>Revenue!O29</f>
        <v>125.2941173</v>
      </c>
    </row>
    <row r="226">
      <c r="B226" s="36" t="s">
        <v>186</v>
      </c>
      <c r="C226" s="29">
        <v>20.0</v>
      </c>
      <c r="D226" s="29">
        <v>20.0</v>
      </c>
      <c r="E226" s="29">
        <v>20.0</v>
      </c>
      <c r="F226" s="29">
        <v>20.0</v>
      </c>
      <c r="G226" s="29">
        <v>20.0</v>
      </c>
      <c r="H226" s="29">
        <v>20.0</v>
      </c>
      <c r="I226" s="29">
        <v>20.0</v>
      </c>
      <c r="J226" s="29">
        <v>20.0</v>
      </c>
      <c r="K226" s="29">
        <v>20.0</v>
      </c>
      <c r="L226" s="29">
        <v>20.0</v>
      </c>
      <c r="M226" s="29">
        <v>20.0</v>
      </c>
      <c r="N226" s="29">
        <v>20.0</v>
      </c>
      <c r="O226" s="29">
        <v>20.0</v>
      </c>
    </row>
    <row r="227">
      <c r="B227" s="36" t="s">
        <v>162</v>
      </c>
      <c r="C227" s="31">
        <f t="shared" ref="C227:O227" si="48">C225/C226</f>
        <v>3.9</v>
      </c>
      <c r="D227" s="31">
        <f t="shared" si="48"/>
        <v>4.118715556</v>
      </c>
      <c r="E227" s="31">
        <f t="shared" si="48"/>
        <v>4.315657445</v>
      </c>
      <c r="F227" s="31">
        <f t="shared" si="48"/>
        <v>4.493211362</v>
      </c>
      <c r="G227" s="31">
        <f t="shared" si="48"/>
        <v>4.709766063</v>
      </c>
      <c r="H227" s="31">
        <f t="shared" si="48"/>
        <v>4.905526443</v>
      </c>
      <c r="I227" s="31">
        <f t="shared" si="48"/>
        <v>5.082595608</v>
      </c>
      <c r="J227" s="31">
        <f t="shared" si="48"/>
        <v>5.298907502</v>
      </c>
      <c r="K227" s="31">
        <f t="shared" si="48"/>
        <v>5.494878426</v>
      </c>
      <c r="L227" s="31">
        <f t="shared" si="48"/>
        <v>5.672479247</v>
      </c>
      <c r="M227" s="31">
        <f t="shared" si="48"/>
        <v>5.889384354</v>
      </c>
      <c r="N227" s="31">
        <f t="shared" si="48"/>
        <v>6.0861591</v>
      </c>
      <c r="O227" s="31">
        <f t="shared" si="48"/>
        <v>6.264705863</v>
      </c>
    </row>
    <row r="228">
      <c r="B228" s="36" t="s">
        <v>163</v>
      </c>
      <c r="C228" s="10">
        <v>0.0</v>
      </c>
      <c r="D228" s="48">
        <f t="shared" ref="D228:O228" si="49">count(D237:D251)</f>
        <v>4</v>
      </c>
      <c r="E228" s="48">
        <f t="shared" si="49"/>
        <v>4</v>
      </c>
      <c r="F228" s="48">
        <f t="shared" si="49"/>
        <v>5</v>
      </c>
      <c r="G228" s="48">
        <f t="shared" si="49"/>
        <v>5</v>
      </c>
      <c r="H228" s="48">
        <f t="shared" si="49"/>
        <v>5</v>
      </c>
      <c r="I228" s="48">
        <f t="shared" si="49"/>
        <v>5</v>
      </c>
      <c r="J228" s="48">
        <f t="shared" si="49"/>
        <v>6</v>
      </c>
      <c r="K228" s="48">
        <f t="shared" si="49"/>
        <v>6</v>
      </c>
      <c r="L228" s="48">
        <f t="shared" si="49"/>
        <v>6</v>
      </c>
      <c r="M228" s="48">
        <f t="shared" si="49"/>
        <v>6</v>
      </c>
      <c r="N228" s="48">
        <f t="shared" si="49"/>
        <v>6</v>
      </c>
      <c r="O228" s="48">
        <f t="shared" si="49"/>
        <v>6</v>
      </c>
    </row>
    <row r="229">
      <c r="B229" s="36" t="s">
        <v>164</v>
      </c>
      <c r="C229" s="31">
        <f t="shared" ref="C229:O229" si="50">C227-C228</f>
        <v>3.9</v>
      </c>
      <c r="D229" s="31">
        <f t="shared" si="50"/>
        <v>0.1187155556</v>
      </c>
      <c r="E229" s="31">
        <f t="shared" si="50"/>
        <v>0.3156574452</v>
      </c>
      <c r="F229" s="31">
        <f t="shared" si="50"/>
        <v>-0.5067886378</v>
      </c>
      <c r="G229" s="31">
        <f t="shared" si="50"/>
        <v>-0.2902339372</v>
      </c>
      <c r="H229" s="31">
        <f t="shared" si="50"/>
        <v>-0.09447355661</v>
      </c>
      <c r="I229" s="31">
        <f t="shared" si="50"/>
        <v>0.08259560786</v>
      </c>
      <c r="J229" s="31">
        <f t="shared" si="50"/>
        <v>-0.7010924985</v>
      </c>
      <c r="K229" s="31">
        <f t="shared" si="50"/>
        <v>-0.5051215737</v>
      </c>
      <c r="L229" s="31">
        <f t="shared" si="50"/>
        <v>-0.3275207532</v>
      </c>
      <c r="M229" s="31">
        <f t="shared" si="50"/>
        <v>-0.1106156457</v>
      </c>
      <c r="N229" s="31">
        <f t="shared" si="50"/>
        <v>0.08615910021</v>
      </c>
      <c r="O229" s="31">
        <f t="shared" si="50"/>
        <v>0.2647058631</v>
      </c>
    </row>
    <row r="230">
      <c r="B230" s="16" t="s">
        <v>256</v>
      </c>
      <c r="C230" s="30">
        <v>11.0</v>
      </c>
      <c r="D230" s="30">
        <f t="shared" ref="D230:O230" si="51">D225/D228</f>
        <v>20.59357778</v>
      </c>
      <c r="E230" s="30">
        <f t="shared" si="51"/>
        <v>21.57828723</v>
      </c>
      <c r="F230" s="30">
        <f t="shared" si="51"/>
        <v>17.97284545</v>
      </c>
      <c r="G230" s="30">
        <f t="shared" si="51"/>
        <v>18.83906425</v>
      </c>
      <c r="H230" s="30">
        <f t="shared" si="51"/>
        <v>19.62210577</v>
      </c>
      <c r="I230" s="30">
        <f t="shared" si="51"/>
        <v>20.33038243</v>
      </c>
      <c r="J230" s="30">
        <f t="shared" si="51"/>
        <v>17.66302501</v>
      </c>
      <c r="K230" s="30">
        <f t="shared" si="51"/>
        <v>18.31626142</v>
      </c>
      <c r="L230" s="30">
        <f t="shared" si="51"/>
        <v>18.90826416</v>
      </c>
      <c r="M230" s="30">
        <f t="shared" si="51"/>
        <v>19.63128118</v>
      </c>
      <c r="N230" s="30">
        <f t="shared" si="51"/>
        <v>20.287197</v>
      </c>
      <c r="O230" s="30">
        <f t="shared" si="51"/>
        <v>20.88235288</v>
      </c>
    </row>
    <row r="231">
      <c r="B231" s="16" t="s">
        <v>257</v>
      </c>
      <c r="C231" s="23" t="str">
        <f t="shared" ref="C231:O231" si="52">C224/C228</f>
        <v>#DIV/0!</v>
      </c>
      <c r="D231" s="23">
        <f t="shared" si="52"/>
        <v>28887.5</v>
      </c>
      <c r="E231" s="23">
        <f t="shared" si="52"/>
        <v>31287.625</v>
      </c>
      <c r="F231" s="23">
        <f t="shared" si="52"/>
        <v>26777.391</v>
      </c>
      <c r="G231" s="23">
        <f t="shared" si="52"/>
        <v>28767.42581</v>
      </c>
      <c r="H231" s="23">
        <f t="shared" si="52"/>
        <v>30578.35749</v>
      </c>
      <c r="I231" s="23">
        <f t="shared" si="52"/>
        <v>32226.30531</v>
      </c>
      <c r="J231" s="23">
        <f t="shared" si="52"/>
        <v>28438.28153</v>
      </c>
      <c r="K231" s="23">
        <f t="shared" si="52"/>
        <v>29878.83619</v>
      </c>
      <c r="L231" s="23">
        <f t="shared" si="52"/>
        <v>31189.74093</v>
      </c>
      <c r="M231" s="23">
        <f t="shared" si="52"/>
        <v>32715.99758</v>
      </c>
      <c r="N231" s="23">
        <f t="shared" si="52"/>
        <v>34104.89113</v>
      </c>
      <c r="O231" s="23">
        <f t="shared" si="52"/>
        <v>35368.78427</v>
      </c>
    </row>
    <row r="233">
      <c r="C233" s="62" t="s">
        <v>258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/>
    </row>
    <row r="234">
      <c r="C234" s="9" t="s">
        <v>44</v>
      </c>
      <c r="D234" s="40" t="s">
        <v>45</v>
      </c>
      <c r="E234" s="7"/>
      <c r="F234" s="8"/>
      <c r="G234" s="40" t="s">
        <v>46</v>
      </c>
      <c r="H234" s="7"/>
      <c r="I234" s="8"/>
      <c r="J234" s="40" t="s">
        <v>47</v>
      </c>
      <c r="K234" s="7"/>
      <c r="L234" s="8"/>
      <c r="M234" s="40" t="s">
        <v>48</v>
      </c>
      <c r="N234" s="7"/>
      <c r="O234" s="8"/>
    </row>
    <row r="235">
      <c r="C235" s="9" t="s">
        <v>49</v>
      </c>
      <c r="D235" s="17" t="s">
        <v>50</v>
      </c>
      <c r="E235" s="17" t="s">
        <v>51</v>
      </c>
      <c r="F235" s="17" t="s">
        <v>52</v>
      </c>
      <c r="G235" s="17" t="s">
        <v>53</v>
      </c>
      <c r="H235" s="17" t="s">
        <v>54</v>
      </c>
      <c r="I235" s="17" t="s">
        <v>55</v>
      </c>
      <c r="J235" s="17" t="s">
        <v>56</v>
      </c>
      <c r="K235" s="17" t="s">
        <v>57</v>
      </c>
      <c r="L235" s="17" t="s">
        <v>58</v>
      </c>
      <c r="M235" s="17" t="s">
        <v>59</v>
      </c>
      <c r="N235" s="17" t="s">
        <v>60</v>
      </c>
      <c r="O235" s="17" t="s">
        <v>61</v>
      </c>
    </row>
    <row r="236">
      <c r="C236" s="16" t="s">
        <v>259</v>
      </c>
      <c r="D236" s="24">
        <f t="shared" ref="D236:O236" si="53">SUM(D237:D251)</f>
        <v>13500</v>
      </c>
      <c r="E236" s="24">
        <f t="shared" si="53"/>
        <v>13500</v>
      </c>
      <c r="F236" s="24">
        <f t="shared" si="53"/>
        <v>16500</v>
      </c>
      <c r="G236" s="24">
        <f t="shared" si="53"/>
        <v>18500</v>
      </c>
      <c r="H236" s="24">
        <f t="shared" si="53"/>
        <v>18500</v>
      </c>
      <c r="I236" s="24">
        <f t="shared" si="53"/>
        <v>18500</v>
      </c>
      <c r="J236" s="24">
        <f t="shared" si="53"/>
        <v>23000</v>
      </c>
      <c r="K236" s="24">
        <f t="shared" si="53"/>
        <v>23500</v>
      </c>
      <c r="L236" s="24">
        <f t="shared" si="53"/>
        <v>23500</v>
      </c>
      <c r="M236" s="24">
        <f t="shared" si="53"/>
        <v>26500</v>
      </c>
      <c r="N236" s="24">
        <f t="shared" si="53"/>
        <v>26500</v>
      </c>
      <c r="O236" s="24">
        <f t="shared" si="53"/>
        <v>26500</v>
      </c>
    </row>
    <row r="237">
      <c r="C237" s="41" t="s">
        <v>245</v>
      </c>
      <c r="D237" s="42">
        <v>4500.0</v>
      </c>
      <c r="E237" s="42">
        <v>4500.0</v>
      </c>
      <c r="F237" s="42">
        <v>4500.0</v>
      </c>
      <c r="G237" s="42">
        <v>5000.0</v>
      </c>
      <c r="H237" s="42">
        <v>5000.0</v>
      </c>
      <c r="I237" s="42">
        <v>5000.0</v>
      </c>
      <c r="J237" s="42">
        <v>5000.0</v>
      </c>
      <c r="K237" s="42">
        <v>5500.0</v>
      </c>
      <c r="L237" s="42">
        <v>5500.0</v>
      </c>
      <c r="M237" s="42">
        <v>5500.0</v>
      </c>
      <c r="N237" s="42">
        <v>5500.0</v>
      </c>
      <c r="O237" s="42">
        <v>5500.0</v>
      </c>
    </row>
    <row r="238">
      <c r="C238" s="41" t="s">
        <v>246</v>
      </c>
      <c r="D238" s="50">
        <v>3000.0</v>
      </c>
      <c r="E238" s="50">
        <v>3000.0</v>
      </c>
      <c r="F238" s="50">
        <v>3000.0</v>
      </c>
      <c r="G238" s="50">
        <v>3500.0</v>
      </c>
      <c r="H238" s="50">
        <v>3500.0</v>
      </c>
      <c r="I238" s="50">
        <v>3500.0</v>
      </c>
      <c r="J238" s="50">
        <v>4000.0</v>
      </c>
      <c r="K238" s="50">
        <v>4000.0</v>
      </c>
      <c r="L238" s="50">
        <v>4000.0</v>
      </c>
      <c r="M238" s="50">
        <v>5000.0</v>
      </c>
      <c r="N238" s="50">
        <v>5000.0</v>
      </c>
      <c r="O238" s="50">
        <v>5000.0</v>
      </c>
    </row>
    <row r="239">
      <c r="C239" s="41" t="s">
        <v>199</v>
      </c>
      <c r="D239" s="50">
        <v>3000.0</v>
      </c>
      <c r="E239" s="50">
        <v>3000.0</v>
      </c>
      <c r="F239" s="50">
        <v>3000.0</v>
      </c>
      <c r="G239" s="50">
        <v>3500.0</v>
      </c>
      <c r="H239" s="50">
        <v>3500.0</v>
      </c>
      <c r="I239" s="50">
        <v>3500.0</v>
      </c>
      <c r="J239" s="50">
        <v>4000.0</v>
      </c>
      <c r="K239" s="50">
        <v>4000.0</v>
      </c>
      <c r="L239" s="50">
        <v>4000.0</v>
      </c>
      <c r="M239" s="50">
        <v>4500.0</v>
      </c>
      <c r="N239" s="50">
        <v>4500.0</v>
      </c>
      <c r="O239" s="50">
        <v>4500.0</v>
      </c>
    </row>
    <row r="240">
      <c r="C240" s="41" t="s">
        <v>200</v>
      </c>
      <c r="D240" s="50">
        <v>3000.0</v>
      </c>
      <c r="E240" s="50">
        <v>3000.0</v>
      </c>
      <c r="F240" s="50">
        <v>3000.0</v>
      </c>
      <c r="G240" s="50">
        <v>3500.0</v>
      </c>
      <c r="H240" s="50">
        <v>3500.0</v>
      </c>
      <c r="I240" s="50">
        <v>3500.0</v>
      </c>
      <c r="J240" s="50">
        <v>3500.0</v>
      </c>
      <c r="K240" s="50">
        <v>3500.0</v>
      </c>
      <c r="L240" s="50">
        <v>3500.0</v>
      </c>
      <c r="M240" s="50">
        <v>4000.0</v>
      </c>
      <c r="N240" s="50">
        <v>4000.0</v>
      </c>
      <c r="O240" s="50">
        <v>4000.0</v>
      </c>
    </row>
    <row r="241">
      <c r="C241" s="41" t="s">
        <v>201</v>
      </c>
      <c r="D241" s="50"/>
      <c r="E241" s="50"/>
      <c r="F241" s="50">
        <v>3000.0</v>
      </c>
      <c r="G241" s="50">
        <v>3000.0</v>
      </c>
      <c r="H241" s="50">
        <v>3000.0</v>
      </c>
      <c r="I241" s="50">
        <v>3000.0</v>
      </c>
      <c r="J241" s="50">
        <v>3500.0</v>
      </c>
      <c r="K241" s="50">
        <v>3500.0</v>
      </c>
      <c r="L241" s="50">
        <v>3500.0</v>
      </c>
      <c r="M241" s="50">
        <v>4000.0</v>
      </c>
      <c r="N241" s="50">
        <v>4000.0</v>
      </c>
      <c r="O241" s="50">
        <v>4000.0</v>
      </c>
    </row>
    <row r="242">
      <c r="C242" s="41" t="s">
        <v>202</v>
      </c>
      <c r="D242" s="50"/>
      <c r="E242" s="50"/>
      <c r="F242" s="50"/>
      <c r="G242" s="50"/>
      <c r="H242" s="50"/>
      <c r="I242" s="50"/>
      <c r="J242" s="50">
        <v>3000.0</v>
      </c>
      <c r="K242" s="50">
        <v>3000.0</v>
      </c>
      <c r="L242" s="50">
        <v>3000.0</v>
      </c>
      <c r="M242" s="50">
        <v>3500.0</v>
      </c>
      <c r="N242" s="50">
        <v>3500.0</v>
      </c>
      <c r="O242" s="50">
        <v>3500.0</v>
      </c>
    </row>
    <row r="243">
      <c r="C243" s="41" t="s">
        <v>203</v>
      </c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</row>
    <row r="244">
      <c r="C244" s="41" t="s">
        <v>204</v>
      </c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</row>
    <row r="245">
      <c r="C245" s="41" t="s">
        <v>205</v>
      </c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</row>
    <row r="246">
      <c r="C246" s="41" t="s">
        <v>206</v>
      </c>
      <c r="D246" s="36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</row>
    <row r="247">
      <c r="C247" s="41" t="s">
        <v>260</v>
      </c>
      <c r="D247" s="36"/>
      <c r="E247" s="36"/>
      <c r="F247" s="24"/>
      <c r="G247" s="24"/>
      <c r="H247" s="24"/>
      <c r="I247" s="24"/>
      <c r="J247" s="24"/>
      <c r="K247" s="24"/>
      <c r="L247" s="24"/>
      <c r="M247" s="24"/>
      <c r="N247" s="24"/>
      <c r="O247" s="24"/>
    </row>
    <row r="248">
      <c r="C248" s="41" t="s">
        <v>261</v>
      </c>
      <c r="D248" s="36"/>
      <c r="E248" s="36"/>
      <c r="F248" s="23"/>
      <c r="G248" s="23"/>
      <c r="H248" s="24"/>
      <c r="I248" s="24"/>
      <c r="J248" s="24"/>
      <c r="K248" s="24"/>
      <c r="L248" s="24"/>
      <c r="M248" s="24"/>
      <c r="N248" s="24"/>
      <c r="O248" s="24"/>
      <c r="P248" s="1"/>
    </row>
    <row r="249">
      <c r="C249" s="41" t="s">
        <v>262</v>
      </c>
      <c r="D249" s="36"/>
      <c r="E249" s="36"/>
      <c r="F249" s="23"/>
      <c r="G249" s="23"/>
      <c r="H249" s="23"/>
      <c r="I249" s="24"/>
      <c r="J249" s="24"/>
      <c r="K249" s="24"/>
      <c r="L249" s="24"/>
      <c r="M249" s="24"/>
      <c r="N249" s="24"/>
      <c r="O249" s="24"/>
    </row>
    <row r="250">
      <c r="C250" s="41" t="s">
        <v>263</v>
      </c>
      <c r="D250" s="36"/>
      <c r="E250" s="36"/>
      <c r="F250" s="23"/>
      <c r="G250" s="23"/>
      <c r="H250" s="23"/>
      <c r="I250" s="23"/>
      <c r="J250" s="23"/>
      <c r="K250" s="24"/>
      <c r="L250" s="24"/>
      <c r="M250" s="24"/>
      <c r="N250" s="24"/>
      <c r="O250" s="24"/>
    </row>
    <row r="251">
      <c r="C251" s="41" t="s">
        <v>264</v>
      </c>
      <c r="D251" s="36"/>
      <c r="E251" s="36"/>
      <c r="F251" s="23"/>
      <c r="G251" s="23"/>
      <c r="H251" s="23"/>
      <c r="I251" s="23"/>
      <c r="J251" s="23"/>
      <c r="K251" s="23"/>
      <c r="L251" s="24"/>
      <c r="M251" s="24"/>
      <c r="N251" s="24"/>
      <c r="O251" s="24"/>
    </row>
    <row r="253">
      <c r="B253" s="38" t="s">
        <v>265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/>
    </row>
    <row r="254">
      <c r="B254" s="36" t="s">
        <v>49</v>
      </c>
      <c r="C254" s="46" t="s">
        <v>61</v>
      </c>
      <c r="D254" s="42" t="s">
        <v>50</v>
      </c>
      <c r="E254" s="42" t="s">
        <v>51</v>
      </c>
      <c r="F254" s="42" t="s">
        <v>52</v>
      </c>
      <c r="G254" s="42" t="s">
        <v>53</v>
      </c>
      <c r="H254" s="42" t="s">
        <v>54</v>
      </c>
      <c r="I254" s="42" t="s">
        <v>55</v>
      </c>
      <c r="J254" s="42" t="s">
        <v>56</v>
      </c>
      <c r="K254" s="42" t="s">
        <v>57</v>
      </c>
      <c r="L254" s="42" t="s">
        <v>58</v>
      </c>
      <c r="M254" s="42" t="s">
        <v>59</v>
      </c>
      <c r="N254" s="42" t="s">
        <v>60</v>
      </c>
      <c r="O254" s="42" t="s">
        <v>61</v>
      </c>
    </row>
    <row r="255">
      <c r="B255" s="16" t="s">
        <v>266</v>
      </c>
      <c r="C255" s="29">
        <v>376.0</v>
      </c>
      <c r="D255" s="31">
        <f>Revenue!D9+Revenue!D14+Revenue!D19+Revenue!D24+Revenue!D29</f>
        <v>425.2937899</v>
      </c>
      <c r="E255" s="31">
        <f>Revenue!E9+Revenue!E14+Revenue!E19+Revenue!E24+Revenue!E29</f>
        <v>449.1013493</v>
      </c>
      <c r="F255" s="31">
        <f>Revenue!F9+Revenue!F14+Revenue!F19+Revenue!F24+Revenue!F29</f>
        <v>470.6780979</v>
      </c>
      <c r="G255" s="31">
        <f>Revenue!G9+Revenue!G14+Revenue!G19+Revenue!G24+Revenue!G29</f>
        <v>496.4309011</v>
      </c>
      <c r="H255" s="31">
        <f>Revenue!H9+Revenue!H14+Revenue!H19+Revenue!H24+Revenue!H29</f>
        <v>519.8020568</v>
      </c>
      <c r="I255" s="31">
        <f>Revenue!I9+Revenue!I14+Revenue!I19+Revenue!I24+Revenue!I29</f>
        <v>541.0182847</v>
      </c>
      <c r="J255" s="31">
        <f>Revenue!J9+Revenue!J14+Revenue!J19+Revenue!J24+Revenue!J29</f>
        <v>566.4567668</v>
      </c>
      <c r="K255" s="31">
        <f>Revenue!K9+Revenue!K14+Revenue!K19+Revenue!K24+Revenue!K29</f>
        <v>589.5648168</v>
      </c>
      <c r="L255" s="31">
        <f>Revenue!L9+Revenue!L14+Revenue!L19+Revenue!L24+Revenue!L29</f>
        <v>610.5589748</v>
      </c>
      <c r="M255" s="31">
        <f>Revenue!M9+Revenue!M14+Revenue!M19+Revenue!M24+Revenue!M29</f>
        <v>635.8013355</v>
      </c>
      <c r="N255" s="31">
        <f>Revenue!N9+Revenue!N14+Revenue!N19+Revenue!N24+Revenue!N29</f>
        <v>658.7437156</v>
      </c>
      <c r="O255" s="31">
        <f>Revenue!O9+Revenue!O14+Revenue!O19+Revenue!O24+Revenue!O29</f>
        <v>679.5973623</v>
      </c>
    </row>
    <row r="256">
      <c r="B256" s="36" t="s">
        <v>186</v>
      </c>
      <c r="C256" s="29">
        <v>70.0</v>
      </c>
      <c r="D256" s="29">
        <v>70.0</v>
      </c>
      <c r="E256" s="29">
        <v>70.0</v>
      </c>
      <c r="F256" s="29">
        <v>70.0</v>
      </c>
      <c r="G256" s="29">
        <v>70.0</v>
      </c>
      <c r="H256" s="29">
        <v>70.0</v>
      </c>
      <c r="I256" s="29">
        <v>70.0</v>
      </c>
      <c r="J256" s="29">
        <v>70.0</v>
      </c>
      <c r="K256" s="29">
        <v>70.0</v>
      </c>
      <c r="L256" s="29">
        <v>70.0</v>
      </c>
      <c r="M256" s="29">
        <v>70.0</v>
      </c>
      <c r="N256" s="29">
        <v>70.0</v>
      </c>
      <c r="O256" s="29">
        <v>70.0</v>
      </c>
    </row>
    <row r="257">
      <c r="B257" s="16" t="s">
        <v>267</v>
      </c>
      <c r="C257" s="31">
        <f t="shared" ref="C257:O257" si="54">C255/C256</f>
        <v>5.371428571</v>
      </c>
      <c r="D257" s="31">
        <f t="shared" si="54"/>
        <v>6.075625569</v>
      </c>
      <c r="E257" s="31">
        <f t="shared" si="54"/>
        <v>6.415733561</v>
      </c>
      <c r="F257" s="31">
        <f t="shared" si="54"/>
        <v>6.723972828</v>
      </c>
      <c r="G257" s="31">
        <f t="shared" si="54"/>
        <v>7.091870015</v>
      </c>
      <c r="H257" s="31">
        <f t="shared" si="54"/>
        <v>7.425743669</v>
      </c>
      <c r="I257" s="31">
        <f t="shared" si="54"/>
        <v>7.728832638</v>
      </c>
      <c r="J257" s="31">
        <f t="shared" si="54"/>
        <v>8.092239525</v>
      </c>
      <c r="K257" s="31">
        <f t="shared" si="54"/>
        <v>8.422354526</v>
      </c>
      <c r="L257" s="31">
        <f t="shared" si="54"/>
        <v>8.722271068</v>
      </c>
      <c r="M257" s="31">
        <f t="shared" si="54"/>
        <v>9.082876221</v>
      </c>
      <c r="N257" s="31">
        <f t="shared" si="54"/>
        <v>9.410624508</v>
      </c>
      <c r="O257" s="31">
        <f t="shared" si="54"/>
        <v>9.708533747</v>
      </c>
    </row>
    <row r="258">
      <c r="B258" s="16" t="s">
        <v>268</v>
      </c>
      <c r="C258" s="10">
        <v>4.0</v>
      </c>
      <c r="D258" s="48">
        <f t="shared" ref="D258:O258" si="55">count(D266:D281)</f>
        <v>7</v>
      </c>
      <c r="E258" s="48">
        <f t="shared" si="55"/>
        <v>8</v>
      </c>
      <c r="F258" s="48">
        <f t="shared" si="55"/>
        <v>8</v>
      </c>
      <c r="G258" s="48">
        <f t="shared" si="55"/>
        <v>8</v>
      </c>
      <c r="H258" s="48">
        <f t="shared" si="55"/>
        <v>9</v>
      </c>
      <c r="I258" s="48">
        <f t="shared" si="55"/>
        <v>9</v>
      </c>
      <c r="J258" s="48">
        <f t="shared" si="55"/>
        <v>9</v>
      </c>
      <c r="K258" s="48">
        <f t="shared" si="55"/>
        <v>10</v>
      </c>
      <c r="L258" s="48">
        <f t="shared" si="55"/>
        <v>10</v>
      </c>
      <c r="M258" s="48">
        <f t="shared" si="55"/>
        <v>11</v>
      </c>
      <c r="N258" s="48">
        <f t="shared" si="55"/>
        <v>11</v>
      </c>
      <c r="O258" s="48">
        <f t="shared" si="55"/>
        <v>11</v>
      </c>
    </row>
    <row r="259">
      <c r="B259" s="36" t="s">
        <v>164</v>
      </c>
      <c r="C259" s="31">
        <f t="shared" ref="C259:O259" si="56">C257-C258</f>
        <v>1.371428571</v>
      </c>
      <c r="D259" s="31">
        <f t="shared" si="56"/>
        <v>-0.9243744306</v>
      </c>
      <c r="E259" s="31">
        <f t="shared" si="56"/>
        <v>-1.584266439</v>
      </c>
      <c r="F259" s="31">
        <f t="shared" si="56"/>
        <v>-1.276027172</v>
      </c>
      <c r="G259" s="31">
        <f t="shared" si="56"/>
        <v>-0.9081299849</v>
      </c>
      <c r="H259" s="31">
        <f t="shared" si="56"/>
        <v>-1.574256331</v>
      </c>
      <c r="I259" s="31">
        <f t="shared" si="56"/>
        <v>-1.271167362</v>
      </c>
      <c r="J259" s="31">
        <f t="shared" si="56"/>
        <v>-0.9077604749</v>
      </c>
      <c r="K259" s="31">
        <f t="shared" si="56"/>
        <v>-1.577645474</v>
      </c>
      <c r="L259" s="31">
        <f t="shared" si="56"/>
        <v>-1.277728932</v>
      </c>
      <c r="M259" s="31">
        <f t="shared" si="56"/>
        <v>-1.917123779</v>
      </c>
      <c r="N259" s="31">
        <f t="shared" si="56"/>
        <v>-1.589375492</v>
      </c>
      <c r="O259" s="31">
        <f t="shared" si="56"/>
        <v>-1.291466253</v>
      </c>
    </row>
    <row r="260">
      <c r="B260" s="16" t="s">
        <v>269</v>
      </c>
      <c r="C260" s="49">
        <f t="shared" ref="C260:O260" si="57">C255/C258</f>
        <v>94</v>
      </c>
      <c r="D260" s="49">
        <f t="shared" si="57"/>
        <v>60.75625569</v>
      </c>
      <c r="E260" s="49">
        <f t="shared" si="57"/>
        <v>56.13766866</v>
      </c>
      <c r="F260" s="49">
        <f t="shared" si="57"/>
        <v>58.83476224</v>
      </c>
      <c r="G260" s="49">
        <f t="shared" si="57"/>
        <v>62.05386263</v>
      </c>
      <c r="H260" s="49">
        <f t="shared" si="57"/>
        <v>57.75578409</v>
      </c>
      <c r="I260" s="49">
        <f t="shared" si="57"/>
        <v>60.11314274</v>
      </c>
      <c r="J260" s="49">
        <f t="shared" si="57"/>
        <v>62.93964075</v>
      </c>
      <c r="K260" s="49">
        <f t="shared" si="57"/>
        <v>58.95648168</v>
      </c>
      <c r="L260" s="49">
        <f t="shared" si="57"/>
        <v>61.05589748</v>
      </c>
      <c r="M260" s="49">
        <f t="shared" si="57"/>
        <v>57.80012141</v>
      </c>
      <c r="N260" s="49">
        <f t="shared" si="57"/>
        <v>59.88579232</v>
      </c>
      <c r="O260" s="49">
        <f t="shared" si="57"/>
        <v>61.78157839</v>
      </c>
    </row>
    <row r="262">
      <c r="B262" s="1"/>
      <c r="C262" s="38" t="s">
        <v>265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8"/>
    </row>
    <row r="263">
      <c r="C263" s="9" t="s">
        <v>44</v>
      </c>
      <c r="D263" s="40" t="s">
        <v>45</v>
      </c>
      <c r="E263" s="7"/>
      <c r="F263" s="8"/>
      <c r="G263" s="40" t="s">
        <v>46</v>
      </c>
      <c r="H263" s="7"/>
      <c r="I263" s="8"/>
      <c r="J263" s="40" t="s">
        <v>47</v>
      </c>
      <c r="K263" s="7"/>
      <c r="L263" s="8"/>
      <c r="M263" s="40" t="s">
        <v>48</v>
      </c>
      <c r="N263" s="7"/>
      <c r="O263" s="8"/>
    </row>
    <row r="264">
      <c r="C264" s="9" t="s">
        <v>49</v>
      </c>
      <c r="D264" s="17" t="s">
        <v>50</v>
      </c>
      <c r="E264" s="17" t="s">
        <v>51</v>
      </c>
      <c r="F264" s="17" t="s">
        <v>52</v>
      </c>
      <c r="G264" s="17" t="s">
        <v>53</v>
      </c>
      <c r="H264" s="17" t="s">
        <v>54</v>
      </c>
      <c r="I264" s="17" t="s">
        <v>55</v>
      </c>
      <c r="J264" s="17" t="s">
        <v>56</v>
      </c>
      <c r="K264" s="17" t="s">
        <v>57</v>
      </c>
      <c r="L264" s="17" t="s">
        <v>58</v>
      </c>
      <c r="M264" s="17" t="s">
        <v>59</v>
      </c>
      <c r="N264" s="17" t="s">
        <v>60</v>
      </c>
      <c r="O264" s="17" t="s">
        <v>61</v>
      </c>
    </row>
    <row r="265">
      <c r="C265" s="16" t="s">
        <v>270</v>
      </c>
      <c r="D265" s="37">
        <f t="shared" ref="D265:O265" si="58">SUM(D266:D281)</f>
        <v>22000</v>
      </c>
      <c r="E265" s="37">
        <f t="shared" si="58"/>
        <v>26000</v>
      </c>
      <c r="F265" s="37">
        <f t="shared" si="58"/>
        <v>26500</v>
      </c>
      <c r="G265" s="37">
        <f t="shared" si="58"/>
        <v>28000</v>
      </c>
      <c r="H265" s="37">
        <f t="shared" si="58"/>
        <v>31000</v>
      </c>
      <c r="I265" s="37">
        <f t="shared" si="58"/>
        <v>31000</v>
      </c>
      <c r="J265" s="37">
        <f t="shared" si="58"/>
        <v>33000</v>
      </c>
      <c r="K265" s="37">
        <f t="shared" si="58"/>
        <v>37500</v>
      </c>
      <c r="L265" s="37">
        <f t="shared" si="58"/>
        <v>37500</v>
      </c>
      <c r="M265" s="37">
        <f t="shared" si="58"/>
        <v>42750</v>
      </c>
      <c r="N265" s="37">
        <f t="shared" si="58"/>
        <v>43500</v>
      </c>
      <c r="O265" s="37">
        <f t="shared" si="58"/>
        <v>43500</v>
      </c>
      <c r="P265" s="63">
        <f>SUM(D265:O265)</f>
        <v>402250</v>
      </c>
    </row>
    <row r="266">
      <c r="C266" s="41" t="s">
        <v>271</v>
      </c>
      <c r="D266" s="50">
        <v>3500.0</v>
      </c>
      <c r="E266" s="50">
        <v>4000.0</v>
      </c>
      <c r="F266" s="50">
        <v>4500.0</v>
      </c>
      <c r="G266" s="50">
        <v>4500.0</v>
      </c>
      <c r="H266" s="50">
        <v>4500.0</v>
      </c>
      <c r="I266" s="50">
        <v>4500.0</v>
      </c>
      <c r="J266" s="50">
        <v>5000.0</v>
      </c>
      <c r="K266" s="50">
        <v>5000.0</v>
      </c>
      <c r="L266" s="50">
        <v>5000.0</v>
      </c>
      <c r="M266" s="50">
        <v>5500.0</v>
      </c>
      <c r="N266" s="50">
        <v>5500.0</v>
      </c>
      <c r="O266" s="50">
        <v>5500.0</v>
      </c>
    </row>
    <row r="267">
      <c r="C267" s="41" t="s">
        <v>272</v>
      </c>
      <c r="D267" s="50">
        <v>3000.0</v>
      </c>
      <c r="E267" s="50">
        <v>3000.0</v>
      </c>
      <c r="F267" s="50">
        <v>3000.0</v>
      </c>
      <c r="G267" s="50">
        <v>3500.0</v>
      </c>
      <c r="H267" s="50">
        <v>3500.0</v>
      </c>
      <c r="I267" s="50">
        <v>3500.0</v>
      </c>
      <c r="J267" s="50">
        <v>3500.0</v>
      </c>
      <c r="K267" s="50">
        <v>4000.0</v>
      </c>
      <c r="L267" s="50">
        <v>4000.0</v>
      </c>
      <c r="M267" s="50">
        <v>4500.0</v>
      </c>
      <c r="N267" s="50">
        <v>4500.0</v>
      </c>
      <c r="O267" s="50">
        <v>4500.0</v>
      </c>
    </row>
    <row r="268">
      <c r="C268" s="41" t="s">
        <v>273</v>
      </c>
      <c r="D268" s="50">
        <v>3000.0</v>
      </c>
      <c r="E268" s="50">
        <v>3000.0</v>
      </c>
      <c r="F268" s="50">
        <v>3000.0</v>
      </c>
      <c r="G268" s="50">
        <v>3000.0</v>
      </c>
      <c r="H268" s="50">
        <v>3000.0</v>
      </c>
      <c r="I268" s="50">
        <v>3000.0</v>
      </c>
      <c r="J268" s="50">
        <v>3500.0</v>
      </c>
      <c r="K268" s="50">
        <v>3500.0</v>
      </c>
      <c r="L268" s="50">
        <v>3500.0</v>
      </c>
      <c r="M268" s="50">
        <v>3750.0</v>
      </c>
      <c r="N268" s="50">
        <v>3750.0</v>
      </c>
      <c r="O268" s="50">
        <v>3750.0</v>
      </c>
    </row>
    <row r="269">
      <c r="C269" s="41" t="s">
        <v>274</v>
      </c>
      <c r="D269" s="50">
        <v>3500.0</v>
      </c>
      <c r="E269" s="50">
        <v>4000.0</v>
      </c>
      <c r="F269" s="50">
        <v>4000.0</v>
      </c>
      <c r="G269" s="50">
        <v>4000.0</v>
      </c>
      <c r="H269" s="50">
        <v>4000.0</v>
      </c>
      <c r="I269" s="50">
        <v>4000.0</v>
      </c>
      <c r="J269" s="50">
        <v>4500.0</v>
      </c>
      <c r="K269" s="50">
        <v>4500.0</v>
      </c>
      <c r="L269" s="50">
        <v>4500.0</v>
      </c>
      <c r="M269" s="50">
        <v>4500.0</v>
      </c>
      <c r="N269" s="50">
        <v>5000.0</v>
      </c>
      <c r="O269" s="50">
        <v>5000.0</v>
      </c>
    </row>
    <row r="270">
      <c r="C270" s="52" t="s">
        <v>275</v>
      </c>
      <c r="D270" s="50">
        <v>3000.0</v>
      </c>
      <c r="E270" s="50">
        <v>3000.0</v>
      </c>
      <c r="F270" s="50">
        <v>3000.0</v>
      </c>
      <c r="G270" s="50">
        <v>3500.0</v>
      </c>
      <c r="H270" s="50">
        <v>3500.0</v>
      </c>
      <c r="I270" s="50">
        <v>3500.0</v>
      </c>
      <c r="J270" s="50">
        <v>3500.0</v>
      </c>
      <c r="K270" s="50">
        <v>4000.0</v>
      </c>
      <c r="L270" s="50">
        <v>4000.0</v>
      </c>
      <c r="M270" s="50">
        <v>4000.0</v>
      </c>
      <c r="N270" s="50">
        <v>4000.0</v>
      </c>
      <c r="O270" s="50">
        <v>4000.0</v>
      </c>
    </row>
    <row r="271">
      <c r="C271" s="41" t="s">
        <v>276</v>
      </c>
      <c r="D271" s="50">
        <v>3000.0</v>
      </c>
      <c r="E271" s="50">
        <v>3000.0</v>
      </c>
      <c r="F271" s="50">
        <v>3000.0</v>
      </c>
      <c r="G271" s="50">
        <v>3500.0</v>
      </c>
      <c r="H271" s="50">
        <v>3500.0</v>
      </c>
      <c r="I271" s="50">
        <v>3500.0</v>
      </c>
      <c r="J271" s="50">
        <v>3500.0</v>
      </c>
      <c r="K271" s="50">
        <v>4000.0</v>
      </c>
      <c r="L271" s="50">
        <v>4000.0</v>
      </c>
      <c r="M271" s="50">
        <v>4000.0</v>
      </c>
      <c r="N271" s="50">
        <v>4000.0</v>
      </c>
      <c r="O271" s="50">
        <v>4000.0</v>
      </c>
    </row>
    <row r="272">
      <c r="C272" s="41" t="s">
        <v>277</v>
      </c>
      <c r="D272" s="50">
        <v>3000.0</v>
      </c>
      <c r="E272" s="50">
        <v>3000.0</v>
      </c>
      <c r="F272" s="50">
        <v>3000.0</v>
      </c>
      <c r="G272" s="50">
        <v>3000.0</v>
      </c>
      <c r="H272" s="50">
        <v>3000.0</v>
      </c>
      <c r="I272" s="50">
        <v>3000.0</v>
      </c>
      <c r="J272" s="50">
        <v>3500.0</v>
      </c>
      <c r="K272" s="50">
        <v>3500.0</v>
      </c>
      <c r="L272" s="50">
        <v>3500.0</v>
      </c>
      <c r="M272" s="50">
        <v>3500.0</v>
      </c>
      <c r="N272" s="50">
        <v>3750.0</v>
      </c>
      <c r="O272" s="50">
        <v>3750.0</v>
      </c>
    </row>
    <row r="273">
      <c r="C273" s="41" t="s">
        <v>278</v>
      </c>
      <c r="D273" s="44"/>
      <c r="E273" s="50">
        <v>3000.0</v>
      </c>
      <c r="F273" s="50">
        <v>3000.0</v>
      </c>
      <c r="G273" s="50">
        <v>3000.0</v>
      </c>
      <c r="H273" s="50">
        <v>3000.0</v>
      </c>
      <c r="I273" s="50">
        <v>3000.0</v>
      </c>
      <c r="J273" s="50">
        <v>3000.0</v>
      </c>
      <c r="K273" s="50">
        <v>3000.0</v>
      </c>
      <c r="L273" s="50">
        <v>3000.0</v>
      </c>
      <c r="M273" s="50">
        <v>3500.0</v>
      </c>
      <c r="N273" s="50">
        <v>3500.0</v>
      </c>
      <c r="O273" s="50">
        <v>3500.0</v>
      </c>
    </row>
    <row r="274">
      <c r="C274" s="41" t="s">
        <v>279</v>
      </c>
      <c r="D274" s="44"/>
      <c r="E274" s="64"/>
      <c r="F274" s="50"/>
      <c r="G274" s="50"/>
      <c r="H274" s="50">
        <v>3000.0</v>
      </c>
      <c r="I274" s="50">
        <v>3000.0</v>
      </c>
      <c r="J274" s="50">
        <v>3000.0</v>
      </c>
      <c r="K274" s="50">
        <v>3000.0</v>
      </c>
      <c r="L274" s="50">
        <v>3000.0</v>
      </c>
      <c r="M274" s="50">
        <v>3500.0</v>
      </c>
      <c r="N274" s="50">
        <v>3500.0</v>
      </c>
      <c r="O274" s="50">
        <v>3500.0</v>
      </c>
    </row>
    <row r="275">
      <c r="C275" s="41" t="s">
        <v>127</v>
      </c>
      <c r="D275" s="36"/>
      <c r="E275" s="36"/>
      <c r="F275" s="36"/>
      <c r="G275" s="36"/>
      <c r="H275" s="50"/>
      <c r="I275" s="50"/>
      <c r="J275" s="50"/>
      <c r="K275" s="50">
        <v>3000.0</v>
      </c>
      <c r="L275" s="50">
        <v>3000.0</v>
      </c>
      <c r="M275" s="50">
        <v>3000.0</v>
      </c>
      <c r="N275" s="50">
        <v>3000.0</v>
      </c>
      <c r="O275" s="50">
        <v>3000.0</v>
      </c>
    </row>
    <row r="276">
      <c r="C276" s="16" t="s">
        <v>127</v>
      </c>
      <c r="D276" s="45"/>
      <c r="E276" s="45"/>
      <c r="F276" s="45"/>
      <c r="G276" s="45"/>
      <c r="H276" s="45"/>
      <c r="I276" s="50"/>
      <c r="J276" s="50"/>
      <c r="K276" s="50"/>
      <c r="L276" s="50"/>
      <c r="M276" s="50">
        <v>3000.0</v>
      </c>
      <c r="N276" s="50">
        <v>3000.0</v>
      </c>
      <c r="O276" s="50">
        <v>3000.0</v>
      </c>
    </row>
    <row r="277">
      <c r="C277" s="41" t="s">
        <v>202</v>
      </c>
      <c r="D277" s="54"/>
      <c r="E277" s="54"/>
      <c r="F277" s="54"/>
      <c r="G277" s="54"/>
      <c r="H277" s="54"/>
      <c r="I277" s="54"/>
      <c r="J277" s="54"/>
      <c r="K277" s="50"/>
      <c r="L277" s="50"/>
      <c r="M277" s="50"/>
      <c r="N277" s="50"/>
      <c r="O277" s="50"/>
    </row>
    <row r="278">
      <c r="C278" s="41" t="s">
        <v>203</v>
      </c>
      <c r="D278" s="54"/>
      <c r="E278" s="54"/>
      <c r="F278" s="54"/>
      <c r="G278" s="54"/>
      <c r="H278" s="54"/>
      <c r="I278" s="54"/>
      <c r="J278" s="54"/>
      <c r="K278" s="54"/>
      <c r="L278" s="50"/>
      <c r="M278" s="50"/>
      <c r="N278" s="50"/>
      <c r="O278" s="50"/>
    </row>
    <row r="279">
      <c r="C279" s="41" t="s">
        <v>204</v>
      </c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0"/>
      <c r="O279" s="50"/>
    </row>
    <row r="280">
      <c r="C280" s="41" t="s">
        <v>205</v>
      </c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0"/>
    </row>
    <row r="281">
      <c r="C281" s="41" t="s">
        <v>206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</row>
    <row r="283">
      <c r="B283" s="38" t="s">
        <v>280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8"/>
    </row>
    <row r="284">
      <c r="B284" s="16" t="s">
        <v>49</v>
      </c>
      <c r="C284" s="16"/>
      <c r="D284" s="10" t="s">
        <v>50</v>
      </c>
      <c r="E284" s="10" t="s">
        <v>51</v>
      </c>
      <c r="F284" s="10" t="s">
        <v>52</v>
      </c>
      <c r="G284" s="10" t="s">
        <v>53</v>
      </c>
      <c r="H284" s="10" t="s">
        <v>54</v>
      </c>
      <c r="I284" s="10" t="s">
        <v>55</v>
      </c>
      <c r="J284" s="10" t="s">
        <v>56</v>
      </c>
      <c r="K284" s="10" t="s">
        <v>57</v>
      </c>
      <c r="L284" s="10" t="s">
        <v>58</v>
      </c>
      <c r="M284" s="10" t="s">
        <v>59</v>
      </c>
      <c r="N284" s="10" t="s">
        <v>60</v>
      </c>
      <c r="O284" s="10" t="s">
        <v>61</v>
      </c>
    </row>
    <row r="285">
      <c r="B285" s="16" t="s">
        <v>281</v>
      </c>
      <c r="C285" s="24"/>
      <c r="D285" s="29">
        <f t="shared" ref="D285:O285" si="59">D5</f>
        <v>81</v>
      </c>
      <c r="E285" s="29">
        <f t="shared" si="59"/>
        <v>83</v>
      </c>
      <c r="F285" s="29">
        <f t="shared" si="59"/>
        <v>89</v>
      </c>
      <c r="G285" s="29">
        <f t="shared" si="59"/>
        <v>93</v>
      </c>
      <c r="H285" s="29">
        <f t="shared" si="59"/>
        <v>96</v>
      </c>
      <c r="I285" s="29">
        <f t="shared" si="59"/>
        <v>100</v>
      </c>
      <c r="J285" s="29">
        <f t="shared" si="59"/>
        <v>106</v>
      </c>
      <c r="K285" s="29">
        <f t="shared" si="59"/>
        <v>110</v>
      </c>
      <c r="L285" s="29">
        <f t="shared" si="59"/>
        <v>112</v>
      </c>
      <c r="M285" s="29">
        <f t="shared" si="59"/>
        <v>117</v>
      </c>
      <c r="N285" s="29">
        <f t="shared" si="59"/>
        <v>120</v>
      </c>
      <c r="O285" s="29">
        <f t="shared" si="59"/>
        <v>122</v>
      </c>
    </row>
    <row r="286">
      <c r="B286" s="16" t="s">
        <v>157</v>
      </c>
      <c r="C286" s="65"/>
      <c r="D286" s="31">
        <f t="shared" ref="D286:O286" si="60">count(D296:D309)</f>
        <v>6</v>
      </c>
      <c r="E286" s="31">
        <f t="shared" si="60"/>
        <v>6</v>
      </c>
      <c r="F286" s="31">
        <f t="shared" si="60"/>
        <v>7</v>
      </c>
      <c r="G286" s="31">
        <f t="shared" si="60"/>
        <v>7</v>
      </c>
      <c r="H286" s="31">
        <f t="shared" si="60"/>
        <v>8</v>
      </c>
      <c r="I286" s="31">
        <f t="shared" si="60"/>
        <v>8</v>
      </c>
      <c r="J286" s="31">
        <f t="shared" si="60"/>
        <v>9</v>
      </c>
      <c r="K286" s="31">
        <f t="shared" si="60"/>
        <v>9</v>
      </c>
      <c r="L286" s="31">
        <f t="shared" si="60"/>
        <v>10</v>
      </c>
      <c r="M286" s="31">
        <f t="shared" si="60"/>
        <v>10</v>
      </c>
      <c r="N286" s="31">
        <f t="shared" si="60"/>
        <v>10</v>
      </c>
      <c r="O286" s="31">
        <f t="shared" si="60"/>
        <v>10</v>
      </c>
    </row>
    <row r="287">
      <c r="B287" s="16" t="s">
        <v>282</v>
      </c>
      <c r="C287" s="65"/>
      <c r="D287" s="29">
        <f t="shared" ref="D287:O287" si="61">D285/D286</f>
        <v>13.5</v>
      </c>
      <c r="E287" s="29">
        <f t="shared" si="61"/>
        <v>13.83333333</v>
      </c>
      <c r="F287" s="29">
        <f t="shared" si="61"/>
        <v>12.71428571</v>
      </c>
      <c r="G287" s="29">
        <f t="shared" si="61"/>
        <v>13.28571429</v>
      </c>
      <c r="H287" s="29">
        <f t="shared" si="61"/>
        <v>12</v>
      </c>
      <c r="I287" s="29">
        <f t="shared" si="61"/>
        <v>12.5</v>
      </c>
      <c r="J287" s="29">
        <f t="shared" si="61"/>
        <v>11.77777778</v>
      </c>
      <c r="K287" s="29">
        <f t="shared" si="61"/>
        <v>12.22222222</v>
      </c>
      <c r="L287" s="29">
        <f t="shared" si="61"/>
        <v>11.2</v>
      </c>
      <c r="M287" s="29">
        <f t="shared" si="61"/>
        <v>11.7</v>
      </c>
      <c r="N287" s="29">
        <f t="shared" si="61"/>
        <v>12</v>
      </c>
      <c r="O287" s="29">
        <f t="shared" si="61"/>
        <v>12.2</v>
      </c>
    </row>
    <row r="288">
      <c r="B288" s="16" t="s">
        <v>186</v>
      </c>
      <c r="C288" s="29"/>
      <c r="D288" s="29">
        <v>16.0</v>
      </c>
      <c r="E288" s="29">
        <v>16.0</v>
      </c>
      <c r="F288" s="29">
        <v>16.0</v>
      </c>
      <c r="G288" s="29">
        <v>16.0</v>
      </c>
      <c r="H288" s="29">
        <v>16.0</v>
      </c>
      <c r="I288" s="29">
        <v>16.0</v>
      </c>
      <c r="J288" s="29">
        <v>16.0</v>
      </c>
      <c r="K288" s="29">
        <v>16.0</v>
      </c>
      <c r="L288" s="29">
        <v>16.0</v>
      </c>
      <c r="M288" s="29">
        <v>16.0</v>
      </c>
      <c r="N288" s="29">
        <v>16.0</v>
      </c>
      <c r="O288" s="29">
        <v>16.0</v>
      </c>
    </row>
    <row r="289">
      <c r="B289" s="16" t="s">
        <v>283</v>
      </c>
      <c r="C289" s="10"/>
      <c r="D289" s="30">
        <f t="shared" ref="D289:O289" si="62">D285/D288</f>
        <v>5.0625</v>
      </c>
      <c r="E289" s="30">
        <f t="shared" si="62"/>
        <v>5.1875</v>
      </c>
      <c r="F289" s="30">
        <f t="shared" si="62"/>
        <v>5.5625</v>
      </c>
      <c r="G289" s="30">
        <f t="shared" si="62"/>
        <v>5.8125</v>
      </c>
      <c r="H289" s="30">
        <f t="shared" si="62"/>
        <v>6</v>
      </c>
      <c r="I289" s="30">
        <f t="shared" si="62"/>
        <v>6.25</v>
      </c>
      <c r="J289" s="30">
        <f t="shared" si="62"/>
        <v>6.625</v>
      </c>
      <c r="K289" s="30">
        <f t="shared" si="62"/>
        <v>6.875</v>
      </c>
      <c r="L289" s="30">
        <f t="shared" si="62"/>
        <v>7</v>
      </c>
      <c r="M289" s="30">
        <f t="shared" si="62"/>
        <v>7.3125</v>
      </c>
      <c r="N289" s="30">
        <f t="shared" si="62"/>
        <v>7.5</v>
      </c>
      <c r="O289" s="30">
        <f t="shared" si="62"/>
        <v>7.625</v>
      </c>
    </row>
    <row r="290">
      <c r="B290" s="16" t="s">
        <v>284</v>
      </c>
      <c r="C290" s="56"/>
      <c r="D290" s="30">
        <f t="shared" ref="D290:O290" si="63">D289-D286</f>
        <v>-0.9375</v>
      </c>
      <c r="E290" s="30">
        <f t="shared" si="63"/>
        <v>-0.8125</v>
      </c>
      <c r="F290" s="30">
        <f t="shared" si="63"/>
        <v>-1.4375</v>
      </c>
      <c r="G290" s="30">
        <f t="shared" si="63"/>
        <v>-1.1875</v>
      </c>
      <c r="H290" s="30">
        <f t="shared" si="63"/>
        <v>-2</v>
      </c>
      <c r="I290" s="30">
        <f t="shared" si="63"/>
        <v>-1.75</v>
      </c>
      <c r="J290" s="30">
        <f t="shared" si="63"/>
        <v>-2.375</v>
      </c>
      <c r="K290" s="30">
        <f t="shared" si="63"/>
        <v>-2.125</v>
      </c>
      <c r="L290" s="30">
        <f t="shared" si="63"/>
        <v>-3</v>
      </c>
      <c r="M290" s="30">
        <f t="shared" si="63"/>
        <v>-2.6875</v>
      </c>
      <c r="N290" s="30">
        <f t="shared" si="63"/>
        <v>-2.5</v>
      </c>
      <c r="O290" s="30">
        <f t="shared" si="63"/>
        <v>-2.375</v>
      </c>
    </row>
    <row r="292">
      <c r="C292" s="38" t="s">
        <v>280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8"/>
    </row>
    <row r="293">
      <c r="C293" s="9" t="s">
        <v>44</v>
      </c>
      <c r="D293" s="40" t="s">
        <v>45</v>
      </c>
      <c r="E293" s="7"/>
      <c r="F293" s="8"/>
      <c r="G293" s="40" t="s">
        <v>46</v>
      </c>
      <c r="H293" s="7"/>
      <c r="I293" s="8"/>
      <c r="J293" s="40" t="s">
        <v>47</v>
      </c>
      <c r="K293" s="7"/>
      <c r="L293" s="8"/>
      <c r="M293" s="40" t="s">
        <v>48</v>
      </c>
      <c r="N293" s="7"/>
      <c r="O293" s="8"/>
    </row>
    <row r="294">
      <c r="C294" s="9" t="s">
        <v>49</v>
      </c>
      <c r="D294" s="17" t="s">
        <v>50</v>
      </c>
      <c r="E294" s="17" t="s">
        <v>51</v>
      </c>
      <c r="F294" s="17" t="s">
        <v>52</v>
      </c>
      <c r="G294" s="17" t="s">
        <v>53</v>
      </c>
      <c r="H294" s="17" t="s">
        <v>54</v>
      </c>
      <c r="I294" s="17" t="s">
        <v>55</v>
      </c>
      <c r="J294" s="17" t="s">
        <v>56</v>
      </c>
      <c r="K294" s="17" t="s">
        <v>57</v>
      </c>
      <c r="L294" s="17" t="s">
        <v>58</v>
      </c>
      <c r="M294" s="17" t="s">
        <v>59</v>
      </c>
      <c r="N294" s="17" t="s">
        <v>60</v>
      </c>
      <c r="O294" s="17" t="s">
        <v>61</v>
      </c>
    </row>
    <row r="295">
      <c r="C295" s="16" t="s">
        <v>285</v>
      </c>
      <c r="D295" s="24">
        <f t="shared" ref="D295:O295" si="64">SUM(D296:D309)</f>
        <v>49500</v>
      </c>
      <c r="E295" s="24">
        <f t="shared" si="64"/>
        <v>49500</v>
      </c>
      <c r="F295" s="24">
        <f t="shared" si="64"/>
        <v>57000</v>
      </c>
      <c r="G295" s="24">
        <f t="shared" si="64"/>
        <v>57000</v>
      </c>
      <c r="H295" s="24">
        <f t="shared" si="64"/>
        <v>64000</v>
      </c>
      <c r="I295" s="24">
        <f t="shared" si="64"/>
        <v>64000</v>
      </c>
      <c r="J295" s="24">
        <f t="shared" si="64"/>
        <v>77000</v>
      </c>
      <c r="K295" s="24">
        <f t="shared" si="64"/>
        <v>77000</v>
      </c>
      <c r="L295" s="24">
        <f t="shared" si="64"/>
        <v>86000</v>
      </c>
      <c r="M295" s="24">
        <f t="shared" si="64"/>
        <v>86000</v>
      </c>
      <c r="N295" s="24">
        <f t="shared" si="64"/>
        <v>86000</v>
      </c>
      <c r="O295" s="24">
        <f t="shared" si="64"/>
        <v>87000</v>
      </c>
    </row>
    <row r="296">
      <c r="B296" s="1" t="s">
        <v>286</v>
      </c>
      <c r="C296" s="41" t="s">
        <v>287</v>
      </c>
      <c r="D296" s="50">
        <v>8000.0</v>
      </c>
      <c r="E296" s="50">
        <v>8000.0</v>
      </c>
      <c r="F296" s="50">
        <v>8000.0</v>
      </c>
      <c r="G296" s="50">
        <v>8000.0</v>
      </c>
      <c r="H296" s="50">
        <v>8000.0</v>
      </c>
      <c r="I296" s="50">
        <v>8000.0</v>
      </c>
      <c r="J296" s="50">
        <v>9000.0</v>
      </c>
      <c r="K296" s="50">
        <v>9000.0</v>
      </c>
      <c r="L296" s="50">
        <v>9000.0</v>
      </c>
      <c r="M296" s="50">
        <v>9000.0</v>
      </c>
      <c r="N296" s="50">
        <v>9000.0</v>
      </c>
      <c r="O296" s="50">
        <v>9000.0</v>
      </c>
    </row>
    <row r="297">
      <c r="B297" s="1" t="s">
        <v>288</v>
      </c>
      <c r="C297" s="41" t="s">
        <v>289</v>
      </c>
      <c r="D297" s="50">
        <v>8000.0</v>
      </c>
      <c r="E297" s="50">
        <v>8000.0</v>
      </c>
      <c r="F297" s="50">
        <v>8000.0</v>
      </c>
      <c r="G297" s="50">
        <v>8000.0</v>
      </c>
      <c r="H297" s="50">
        <v>8000.0</v>
      </c>
      <c r="I297" s="50">
        <v>8000.0</v>
      </c>
      <c r="J297" s="50">
        <v>9000.0</v>
      </c>
      <c r="K297" s="50">
        <v>9000.0</v>
      </c>
      <c r="L297" s="50">
        <v>9000.0</v>
      </c>
      <c r="M297" s="50">
        <v>9000.0</v>
      </c>
      <c r="N297" s="50">
        <v>9000.0</v>
      </c>
      <c r="O297" s="50">
        <v>9000.0</v>
      </c>
    </row>
    <row r="298">
      <c r="B298" s="1" t="s">
        <v>290</v>
      </c>
      <c r="C298" s="41" t="s">
        <v>291</v>
      </c>
      <c r="D298" s="50">
        <v>8000.0</v>
      </c>
      <c r="E298" s="50">
        <v>8000.0</v>
      </c>
      <c r="F298" s="50">
        <v>8000.0</v>
      </c>
      <c r="G298" s="50">
        <v>8000.0</v>
      </c>
      <c r="H298" s="50">
        <v>8000.0</v>
      </c>
      <c r="I298" s="50">
        <v>8000.0</v>
      </c>
      <c r="J298" s="50">
        <v>9000.0</v>
      </c>
      <c r="K298" s="50">
        <v>9000.0</v>
      </c>
      <c r="L298" s="50">
        <v>9000.0</v>
      </c>
      <c r="M298" s="50">
        <v>9000.0</v>
      </c>
      <c r="N298" s="50">
        <v>9000.0</v>
      </c>
      <c r="O298" s="50">
        <v>9000.0</v>
      </c>
    </row>
    <row r="299">
      <c r="B299" s="1" t="s">
        <v>292</v>
      </c>
      <c r="C299" s="41" t="s">
        <v>293</v>
      </c>
      <c r="D299" s="50">
        <v>10000.0</v>
      </c>
      <c r="E299" s="50">
        <v>10000.0</v>
      </c>
      <c r="F299" s="50">
        <v>10000.0</v>
      </c>
      <c r="G299" s="50">
        <v>10000.0</v>
      </c>
      <c r="H299" s="50">
        <v>10000.0</v>
      </c>
      <c r="I299" s="50">
        <v>10000.0</v>
      </c>
      <c r="J299" s="50">
        <v>10000.0</v>
      </c>
      <c r="K299" s="50">
        <v>10000.0</v>
      </c>
      <c r="L299" s="50">
        <v>10000.0</v>
      </c>
      <c r="M299" s="50">
        <v>10000.0</v>
      </c>
      <c r="N299" s="50">
        <v>10000.0</v>
      </c>
      <c r="O299" s="50">
        <v>10000.0</v>
      </c>
    </row>
    <row r="300">
      <c r="B300" s="1" t="s">
        <v>294</v>
      </c>
      <c r="C300" s="41" t="s">
        <v>295</v>
      </c>
      <c r="D300" s="50">
        <v>8000.0</v>
      </c>
      <c r="E300" s="50">
        <v>8000.0</v>
      </c>
      <c r="F300" s="50">
        <v>8000.0</v>
      </c>
      <c r="G300" s="50">
        <v>8000.0</v>
      </c>
      <c r="H300" s="50">
        <v>8000.0</v>
      </c>
      <c r="I300" s="50">
        <v>8000.0</v>
      </c>
      <c r="J300" s="50">
        <v>9000.0</v>
      </c>
      <c r="K300" s="50">
        <v>9000.0</v>
      </c>
      <c r="L300" s="50">
        <v>9000.0</v>
      </c>
      <c r="M300" s="50">
        <v>9000.0</v>
      </c>
      <c r="N300" s="50">
        <v>9000.0</v>
      </c>
      <c r="O300" s="50">
        <v>9000.0</v>
      </c>
    </row>
    <row r="301">
      <c r="B301" s="1" t="s">
        <v>296</v>
      </c>
      <c r="C301" s="52" t="s">
        <v>297</v>
      </c>
      <c r="D301" s="50">
        <v>7500.0</v>
      </c>
      <c r="E301" s="50">
        <v>7500.0</v>
      </c>
      <c r="F301" s="50">
        <v>8000.0</v>
      </c>
      <c r="G301" s="50">
        <v>8000.0</v>
      </c>
      <c r="H301" s="50">
        <v>8000.0</v>
      </c>
      <c r="I301" s="50">
        <v>8000.0</v>
      </c>
      <c r="J301" s="50">
        <v>9000.0</v>
      </c>
      <c r="K301" s="50">
        <v>9000.0</v>
      </c>
      <c r="L301" s="50">
        <v>9000.0</v>
      </c>
      <c r="M301" s="50">
        <v>9000.0</v>
      </c>
      <c r="N301" s="50">
        <v>9000.0</v>
      </c>
      <c r="O301" s="50">
        <v>9000.0</v>
      </c>
    </row>
    <row r="302">
      <c r="C302" s="52" t="s">
        <v>246</v>
      </c>
      <c r="D302" s="50"/>
      <c r="E302" s="50"/>
      <c r="F302" s="50">
        <v>7000.0</v>
      </c>
      <c r="G302" s="50">
        <v>7000.0</v>
      </c>
      <c r="H302" s="50">
        <v>7000.0</v>
      </c>
      <c r="I302" s="50">
        <v>7000.0</v>
      </c>
      <c r="J302" s="50">
        <v>7000.0</v>
      </c>
      <c r="K302" s="50">
        <v>7000.0</v>
      </c>
      <c r="L302" s="50">
        <v>7000.0</v>
      </c>
      <c r="M302" s="50">
        <v>7000.0</v>
      </c>
      <c r="N302" s="50">
        <v>7000.0</v>
      </c>
      <c r="O302" s="50">
        <v>7000.0</v>
      </c>
    </row>
    <row r="303">
      <c r="C303" s="52" t="s">
        <v>199</v>
      </c>
      <c r="D303" s="59"/>
      <c r="E303" s="50"/>
      <c r="F303" s="50"/>
      <c r="G303" s="50"/>
      <c r="H303" s="50">
        <v>7000.0</v>
      </c>
      <c r="I303" s="50">
        <v>7000.0</v>
      </c>
      <c r="J303" s="50">
        <v>7000.0</v>
      </c>
      <c r="K303" s="50">
        <v>7000.0</v>
      </c>
      <c r="L303" s="50">
        <v>7000.0</v>
      </c>
      <c r="M303" s="50">
        <v>7000.0</v>
      </c>
      <c r="N303" s="50">
        <v>7000.0</v>
      </c>
      <c r="O303" s="50">
        <v>7000.0</v>
      </c>
    </row>
    <row r="304">
      <c r="C304" s="52" t="s">
        <v>200</v>
      </c>
      <c r="D304" s="50"/>
      <c r="E304" s="50"/>
      <c r="F304" s="50"/>
      <c r="G304" s="50"/>
      <c r="H304" s="50"/>
      <c r="I304" s="50"/>
      <c r="J304" s="50">
        <v>8000.0</v>
      </c>
      <c r="K304" s="50">
        <v>8000.0</v>
      </c>
      <c r="L304" s="50">
        <v>9000.0</v>
      </c>
      <c r="M304" s="50">
        <v>9000.0</v>
      </c>
      <c r="N304" s="50">
        <v>9000.0</v>
      </c>
      <c r="O304" s="50">
        <v>9000.0</v>
      </c>
    </row>
    <row r="305">
      <c r="C305" s="52" t="s">
        <v>201</v>
      </c>
      <c r="D305" s="59"/>
      <c r="E305" s="59"/>
      <c r="F305" s="50"/>
      <c r="G305" s="50"/>
      <c r="H305" s="50"/>
      <c r="I305" s="50"/>
      <c r="J305" s="50"/>
      <c r="K305" s="50"/>
      <c r="L305" s="50">
        <v>8000.0</v>
      </c>
      <c r="M305" s="50">
        <v>8000.0</v>
      </c>
      <c r="N305" s="50">
        <v>8000.0</v>
      </c>
      <c r="O305" s="50">
        <v>9000.0</v>
      </c>
    </row>
    <row r="306">
      <c r="C306" s="52" t="s">
        <v>202</v>
      </c>
      <c r="D306" s="36"/>
      <c r="E306" s="36"/>
      <c r="F306" s="36"/>
      <c r="G306" s="36"/>
      <c r="H306" s="36"/>
      <c r="I306" s="50"/>
      <c r="J306" s="50"/>
      <c r="K306" s="50"/>
      <c r="L306" s="50"/>
      <c r="M306" s="50"/>
      <c r="N306" s="50"/>
      <c r="O306" s="50"/>
    </row>
    <row r="307">
      <c r="C307" s="52" t="s">
        <v>203</v>
      </c>
      <c r="D307" s="36"/>
      <c r="E307" s="36"/>
      <c r="F307" s="36"/>
      <c r="G307" s="36"/>
      <c r="H307" s="36"/>
      <c r="I307" s="36"/>
      <c r="J307" s="50"/>
      <c r="K307" s="50"/>
      <c r="L307" s="50"/>
      <c r="M307" s="50"/>
      <c r="N307" s="50"/>
      <c r="O307" s="50"/>
    </row>
    <row r="308">
      <c r="C308" s="52" t="s">
        <v>204</v>
      </c>
      <c r="D308" s="36"/>
      <c r="E308" s="36"/>
      <c r="F308" s="36"/>
      <c r="G308" s="36"/>
      <c r="H308" s="36"/>
      <c r="I308" s="36"/>
      <c r="J308" s="36"/>
      <c r="K308" s="50"/>
      <c r="L308" s="50"/>
      <c r="M308" s="50"/>
      <c r="N308" s="50"/>
      <c r="O308" s="50"/>
    </row>
    <row r="309">
      <c r="C309" s="52" t="s">
        <v>205</v>
      </c>
      <c r="D309" s="36"/>
      <c r="E309" s="36"/>
      <c r="F309" s="36"/>
      <c r="G309" s="36"/>
      <c r="H309" s="36"/>
      <c r="I309" s="36"/>
      <c r="J309" s="36"/>
      <c r="K309" s="36"/>
      <c r="L309" s="50"/>
      <c r="M309" s="50"/>
      <c r="N309" s="50"/>
      <c r="O309" s="50"/>
    </row>
    <row r="311">
      <c r="B311" s="38" t="s">
        <v>298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/>
    </row>
    <row r="312">
      <c r="B312" s="9" t="s">
        <v>49</v>
      </c>
      <c r="C312" s="17" t="s">
        <v>61</v>
      </c>
      <c r="D312" s="17" t="s">
        <v>50</v>
      </c>
      <c r="E312" s="17" t="s">
        <v>51</v>
      </c>
      <c r="F312" s="17" t="s">
        <v>52</v>
      </c>
      <c r="G312" s="17" t="s">
        <v>53</v>
      </c>
      <c r="H312" s="17" t="s">
        <v>54</v>
      </c>
      <c r="I312" s="17" t="s">
        <v>55</v>
      </c>
      <c r="J312" s="17" t="s">
        <v>56</v>
      </c>
      <c r="K312" s="17" t="s">
        <v>57</v>
      </c>
      <c r="L312" s="17" t="s">
        <v>58</v>
      </c>
      <c r="M312" s="17" t="s">
        <v>59</v>
      </c>
      <c r="N312" s="17" t="s">
        <v>60</v>
      </c>
      <c r="O312" s="17" t="s">
        <v>61</v>
      </c>
      <c r="P312" s="66" t="s">
        <v>62</v>
      </c>
    </row>
    <row r="313">
      <c r="B313" s="16" t="s">
        <v>299</v>
      </c>
      <c r="C313" s="29">
        <v>12.0</v>
      </c>
      <c r="D313" s="29">
        <f t="shared" ref="D313:O313" si="65">count(D323:D337)</f>
        <v>13</v>
      </c>
      <c r="E313" s="29">
        <f t="shared" si="65"/>
        <v>13</v>
      </c>
      <c r="F313" s="29">
        <f t="shared" si="65"/>
        <v>13</v>
      </c>
      <c r="G313" s="29">
        <f t="shared" si="65"/>
        <v>13</v>
      </c>
      <c r="H313" s="29">
        <f t="shared" si="65"/>
        <v>13</v>
      </c>
      <c r="I313" s="29">
        <f t="shared" si="65"/>
        <v>15</v>
      </c>
      <c r="J313" s="29">
        <f t="shared" si="65"/>
        <v>15</v>
      </c>
      <c r="K313" s="29">
        <f t="shared" si="65"/>
        <v>15</v>
      </c>
      <c r="L313" s="29">
        <f t="shared" si="65"/>
        <v>15</v>
      </c>
      <c r="M313" s="29">
        <f t="shared" si="65"/>
        <v>15</v>
      </c>
      <c r="N313" s="29">
        <f t="shared" si="65"/>
        <v>15</v>
      </c>
      <c r="O313" s="29">
        <f t="shared" si="65"/>
        <v>15</v>
      </c>
      <c r="R313" s="10" t="s">
        <v>300</v>
      </c>
      <c r="S313" s="10" t="s">
        <v>301</v>
      </c>
      <c r="T313" s="10" t="s">
        <v>302</v>
      </c>
      <c r="U313" s="10" t="s">
        <v>303</v>
      </c>
    </row>
    <row r="314">
      <c r="B314" s="9" t="s">
        <v>304</v>
      </c>
      <c r="C314" s="67"/>
      <c r="D314" s="68">
        <v>150000.0</v>
      </c>
      <c r="E314" s="68">
        <v>150000.0</v>
      </c>
      <c r="F314" s="68">
        <v>150000.0</v>
      </c>
      <c r="G314" s="68">
        <v>180000.0</v>
      </c>
      <c r="H314" s="68">
        <v>180000.0</v>
      </c>
      <c r="I314" s="68">
        <v>180000.0</v>
      </c>
      <c r="J314" s="68">
        <v>200000.0</v>
      </c>
      <c r="K314" s="68">
        <v>200000.0</v>
      </c>
      <c r="L314" s="68">
        <v>200000.0</v>
      </c>
      <c r="M314" s="68">
        <v>220000.0</v>
      </c>
      <c r="N314" s="68">
        <v>220000.0</v>
      </c>
      <c r="O314" s="68">
        <v>220000.0</v>
      </c>
      <c r="P314" s="68">
        <f>sum(D314:O314)</f>
        <v>2250000</v>
      </c>
      <c r="R314" s="68">
        <v>524000.0</v>
      </c>
      <c r="S314" s="68">
        <v>1900000.0</v>
      </c>
      <c r="T314" s="68">
        <v>100000.0</v>
      </c>
      <c r="U314" s="68">
        <v>160000.0</v>
      </c>
    </row>
    <row r="315">
      <c r="B315" s="16" t="s">
        <v>305</v>
      </c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</row>
    <row r="316">
      <c r="B316" s="16" t="s">
        <v>306</v>
      </c>
      <c r="C316" s="65"/>
      <c r="D316" s="25">
        <f t="shared" ref="D316:O316" si="66">1-(D322+D343)/D314</f>
        <v>0.5066666667</v>
      </c>
      <c r="E316" s="25">
        <f t="shared" si="66"/>
        <v>0.5</v>
      </c>
      <c r="F316" s="25">
        <f t="shared" si="66"/>
        <v>0.5</v>
      </c>
      <c r="G316" s="25">
        <f t="shared" si="66"/>
        <v>0.5666666667</v>
      </c>
      <c r="H316" s="25">
        <f t="shared" si="66"/>
        <v>0.5666666667</v>
      </c>
      <c r="I316" s="25">
        <f t="shared" si="66"/>
        <v>0.5027777778</v>
      </c>
      <c r="J316" s="25">
        <f t="shared" si="66"/>
        <v>0.53</v>
      </c>
      <c r="K316" s="25">
        <f t="shared" si="66"/>
        <v>0.53</v>
      </c>
      <c r="L316" s="25">
        <f t="shared" si="66"/>
        <v>0.52</v>
      </c>
      <c r="M316" s="25">
        <f t="shared" si="66"/>
        <v>0.5545454545</v>
      </c>
      <c r="N316" s="25">
        <f t="shared" si="66"/>
        <v>0.5545454545</v>
      </c>
      <c r="O316" s="25">
        <f t="shared" si="66"/>
        <v>0.5545454545</v>
      </c>
    </row>
    <row r="317">
      <c r="B317" s="16" t="s">
        <v>307</v>
      </c>
      <c r="C317" s="36"/>
      <c r="D317" s="25">
        <f t="shared" ref="D317:O317" si="67">1-D316</f>
        <v>0.4933333333</v>
      </c>
      <c r="E317" s="25">
        <f t="shared" si="67"/>
        <v>0.5</v>
      </c>
      <c r="F317" s="25">
        <f t="shared" si="67"/>
        <v>0.5</v>
      </c>
      <c r="G317" s="25">
        <f t="shared" si="67"/>
        <v>0.4333333333</v>
      </c>
      <c r="H317" s="25">
        <f t="shared" si="67"/>
        <v>0.4333333333</v>
      </c>
      <c r="I317" s="25">
        <f t="shared" si="67"/>
        <v>0.4972222222</v>
      </c>
      <c r="J317" s="25">
        <f t="shared" si="67"/>
        <v>0.47</v>
      </c>
      <c r="K317" s="25">
        <f t="shared" si="67"/>
        <v>0.47</v>
      </c>
      <c r="L317" s="25">
        <f t="shared" si="67"/>
        <v>0.48</v>
      </c>
      <c r="M317" s="25">
        <f t="shared" si="67"/>
        <v>0.4454545455</v>
      </c>
      <c r="N317" s="25">
        <f t="shared" si="67"/>
        <v>0.4454545455</v>
      </c>
      <c r="O317" s="25">
        <f t="shared" si="67"/>
        <v>0.4454545455</v>
      </c>
    </row>
    <row r="319">
      <c r="C319" s="38" t="s">
        <v>298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8"/>
    </row>
    <row r="320">
      <c r="C320" s="9" t="s">
        <v>44</v>
      </c>
      <c r="D320" s="40" t="s">
        <v>45</v>
      </c>
      <c r="E320" s="7"/>
      <c r="F320" s="8"/>
      <c r="G320" s="40" t="s">
        <v>46</v>
      </c>
      <c r="H320" s="7"/>
      <c r="I320" s="8"/>
      <c r="J320" s="40" t="s">
        <v>47</v>
      </c>
      <c r="K320" s="7"/>
      <c r="L320" s="8"/>
      <c r="M320" s="40" t="s">
        <v>48</v>
      </c>
      <c r="N320" s="7"/>
      <c r="O320" s="8"/>
    </row>
    <row r="321">
      <c r="C321" s="9" t="s">
        <v>49</v>
      </c>
      <c r="D321" s="17" t="s">
        <v>50</v>
      </c>
      <c r="E321" s="17" t="s">
        <v>51</v>
      </c>
      <c r="F321" s="17" t="s">
        <v>52</v>
      </c>
      <c r="G321" s="17" t="s">
        <v>53</v>
      </c>
      <c r="H321" s="17" t="s">
        <v>54</v>
      </c>
      <c r="I321" s="17" t="s">
        <v>55</v>
      </c>
      <c r="J321" s="17" t="s">
        <v>56</v>
      </c>
      <c r="K321" s="17" t="s">
        <v>57</v>
      </c>
      <c r="L321" s="17" t="s">
        <v>58</v>
      </c>
      <c r="M321" s="17" t="s">
        <v>59</v>
      </c>
      <c r="N321" s="17" t="s">
        <v>60</v>
      </c>
      <c r="O321" s="17" t="s">
        <v>61</v>
      </c>
    </row>
    <row r="322">
      <c r="C322" s="9" t="s">
        <v>308</v>
      </c>
      <c r="D322" s="20">
        <f t="shared" ref="D322:O322" si="68">SUM(D323:D337)</f>
        <v>59000</v>
      </c>
      <c r="E322" s="20">
        <f t="shared" si="68"/>
        <v>60000</v>
      </c>
      <c r="F322" s="20">
        <f t="shared" si="68"/>
        <v>60000</v>
      </c>
      <c r="G322" s="20">
        <f t="shared" si="68"/>
        <v>65500</v>
      </c>
      <c r="H322" s="20">
        <f t="shared" si="68"/>
        <v>65500</v>
      </c>
      <c r="I322" s="20">
        <f t="shared" si="68"/>
        <v>77000</v>
      </c>
      <c r="J322" s="20">
        <f t="shared" si="68"/>
        <v>81500</v>
      </c>
      <c r="K322" s="20">
        <f t="shared" si="68"/>
        <v>81500</v>
      </c>
      <c r="L322" s="20">
        <f t="shared" si="68"/>
        <v>83500</v>
      </c>
      <c r="M322" s="20">
        <f t="shared" si="68"/>
        <v>88000</v>
      </c>
      <c r="N322" s="20">
        <f t="shared" si="68"/>
        <v>88000</v>
      </c>
      <c r="O322" s="20">
        <f t="shared" si="68"/>
        <v>88000</v>
      </c>
    </row>
    <row r="323">
      <c r="C323" s="16" t="s">
        <v>309</v>
      </c>
      <c r="D323" s="24">
        <v>9000.0</v>
      </c>
      <c r="E323" s="24">
        <v>9000.0</v>
      </c>
      <c r="F323" s="24">
        <v>9000.0</v>
      </c>
      <c r="G323" s="24">
        <v>9000.0</v>
      </c>
      <c r="H323" s="24">
        <v>9000.0</v>
      </c>
      <c r="I323" s="24">
        <v>9000.0</v>
      </c>
      <c r="J323" s="24">
        <v>10000.0</v>
      </c>
      <c r="K323" s="24">
        <v>10000.0</v>
      </c>
      <c r="L323" s="24">
        <v>10000.0</v>
      </c>
      <c r="M323" s="24">
        <v>10000.0</v>
      </c>
      <c r="N323" s="24">
        <v>10000.0</v>
      </c>
      <c r="O323" s="24">
        <v>10000.0</v>
      </c>
    </row>
    <row r="324">
      <c r="B324" s="18"/>
      <c r="C324" s="16" t="s">
        <v>310</v>
      </c>
      <c r="D324" s="24">
        <v>7500.0</v>
      </c>
      <c r="E324" s="24">
        <v>7500.0</v>
      </c>
      <c r="F324" s="24">
        <v>7500.0</v>
      </c>
      <c r="G324" s="24">
        <v>7500.0</v>
      </c>
      <c r="H324" s="24">
        <v>7500.0</v>
      </c>
      <c r="I324" s="24">
        <v>7500.0</v>
      </c>
      <c r="J324" s="24">
        <v>8000.0</v>
      </c>
      <c r="K324" s="24">
        <v>8000.0</v>
      </c>
      <c r="L324" s="24">
        <v>8000.0</v>
      </c>
      <c r="M324" s="24">
        <v>8000.0</v>
      </c>
      <c r="N324" s="24">
        <v>8000.0</v>
      </c>
      <c r="O324" s="24">
        <v>8000.0</v>
      </c>
    </row>
    <row r="325">
      <c r="C325" s="16" t="s">
        <v>311</v>
      </c>
      <c r="D325" s="24">
        <v>4000.0</v>
      </c>
      <c r="E325" s="24">
        <v>4000.0</v>
      </c>
      <c r="F325" s="24">
        <v>4000.0</v>
      </c>
      <c r="G325" s="24">
        <v>4500.0</v>
      </c>
      <c r="H325" s="24">
        <v>4500.0</v>
      </c>
      <c r="I325" s="24">
        <v>4500.0</v>
      </c>
      <c r="J325" s="24">
        <v>4500.0</v>
      </c>
      <c r="K325" s="24">
        <v>4500.0</v>
      </c>
      <c r="L325" s="24">
        <v>4500.0</v>
      </c>
      <c r="M325" s="24">
        <v>5000.0</v>
      </c>
      <c r="N325" s="24">
        <v>5000.0</v>
      </c>
      <c r="O325" s="24">
        <v>5000.0</v>
      </c>
    </row>
    <row r="326">
      <c r="C326" s="16" t="s">
        <v>312</v>
      </c>
      <c r="D326" s="24">
        <v>4000.0</v>
      </c>
      <c r="E326" s="24">
        <v>4000.0</v>
      </c>
      <c r="F326" s="24">
        <v>4000.0</v>
      </c>
      <c r="G326" s="24">
        <v>4500.0</v>
      </c>
      <c r="H326" s="24">
        <v>4500.0</v>
      </c>
      <c r="I326" s="24">
        <v>4500.0</v>
      </c>
      <c r="J326" s="24">
        <v>4500.0</v>
      </c>
      <c r="K326" s="24">
        <v>4500.0</v>
      </c>
      <c r="L326" s="24">
        <v>4500.0</v>
      </c>
      <c r="M326" s="24">
        <v>4500.0</v>
      </c>
      <c r="N326" s="24">
        <v>4500.0</v>
      </c>
      <c r="O326" s="24">
        <v>4500.0</v>
      </c>
    </row>
    <row r="327">
      <c r="C327" s="16" t="s">
        <v>313</v>
      </c>
      <c r="D327" s="24">
        <v>2500.0</v>
      </c>
      <c r="E327" s="24">
        <v>2500.0</v>
      </c>
      <c r="F327" s="24">
        <v>2500.0</v>
      </c>
      <c r="G327" s="24">
        <v>3000.0</v>
      </c>
      <c r="H327" s="24">
        <v>3000.0</v>
      </c>
      <c r="I327" s="24">
        <v>3000.0</v>
      </c>
      <c r="J327" s="24">
        <v>3000.0</v>
      </c>
      <c r="K327" s="24">
        <v>3000.0</v>
      </c>
      <c r="L327" s="24">
        <v>3000.0</v>
      </c>
      <c r="M327" s="24">
        <v>3500.0</v>
      </c>
      <c r="N327" s="24">
        <v>3500.0</v>
      </c>
      <c r="O327" s="24">
        <v>3500.0</v>
      </c>
    </row>
    <row r="328">
      <c r="C328" s="16" t="s">
        <v>314</v>
      </c>
      <c r="D328" s="24">
        <v>2000.0</v>
      </c>
      <c r="E328" s="24">
        <v>2000.0</v>
      </c>
      <c r="F328" s="24">
        <v>2000.0</v>
      </c>
      <c r="G328" s="24">
        <v>2500.0</v>
      </c>
      <c r="H328" s="24">
        <v>2500.0</v>
      </c>
      <c r="I328" s="24">
        <v>2500.0</v>
      </c>
      <c r="J328" s="24">
        <v>3000.0</v>
      </c>
      <c r="K328" s="24">
        <v>3000.0</v>
      </c>
      <c r="L328" s="24">
        <v>3000.0</v>
      </c>
      <c r="M328" s="24">
        <v>3500.0</v>
      </c>
      <c r="N328" s="24">
        <v>3500.0</v>
      </c>
      <c r="O328" s="24">
        <v>3500.0</v>
      </c>
    </row>
    <row r="329">
      <c r="C329" s="16" t="s">
        <v>315</v>
      </c>
      <c r="D329" s="24">
        <v>1000.0</v>
      </c>
      <c r="E329" s="24">
        <v>1000.0</v>
      </c>
      <c r="F329" s="24">
        <v>1000.0</v>
      </c>
      <c r="G329" s="24">
        <v>1500.0</v>
      </c>
      <c r="H329" s="24">
        <v>1500.0</v>
      </c>
      <c r="I329" s="24">
        <v>1500.0</v>
      </c>
      <c r="J329" s="24">
        <v>2000.0</v>
      </c>
      <c r="K329" s="24">
        <v>2000.0</v>
      </c>
      <c r="L329" s="24">
        <v>2000.0</v>
      </c>
      <c r="M329" s="24">
        <v>2000.0</v>
      </c>
      <c r="N329" s="24">
        <v>2000.0</v>
      </c>
      <c r="O329" s="24">
        <v>2000.0</v>
      </c>
    </row>
    <row r="330">
      <c r="C330" s="16" t="s">
        <v>316</v>
      </c>
      <c r="D330" s="24">
        <v>3000.0</v>
      </c>
      <c r="E330" s="24">
        <v>3000.0</v>
      </c>
      <c r="F330" s="24">
        <v>3000.0</v>
      </c>
      <c r="G330" s="24">
        <v>3500.0</v>
      </c>
      <c r="H330" s="24">
        <v>3500.0</v>
      </c>
      <c r="I330" s="24">
        <v>3500.0</v>
      </c>
      <c r="J330" s="24">
        <v>4000.0</v>
      </c>
      <c r="K330" s="24">
        <v>4000.0</v>
      </c>
      <c r="L330" s="24">
        <v>4000.0</v>
      </c>
      <c r="M330" s="24">
        <v>4500.0</v>
      </c>
      <c r="N330" s="24">
        <v>4500.0</v>
      </c>
      <c r="O330" s="24">
        <v>4500.0</v>
      </c>
    </row>
    <row r="331">
      <c r="C331" s="16" t="s">
        <v>317</v>
      </c>
      <c r="D331" s="24">
        <v>1500.0</v>
      </c>
      <c r="E331" s="24">
        <v>1500.0</v>
      </c>
      <c r="F331" s="24">
        <v>1500.0</v>
      </c>
      <c r="G331" s="24">
        <v>2000.0</v>
      </c>
      <c r="H331" s="24">
        <v>2000.0</v>
      </c>
      <c r="I331" s="24">
        <v>2000.0</v>
      </c>
      <c r="J331" s="24">
        <v>2500.0</v>
      </c>
      <c r="K331" s="24">
        <v>2500.0</v>
      </c>
      <c r="L331" s="24">
        <v>2500.0</v>
      </c>
      <c r="M331" s="24">
        <v>3000.0</v>
      </c>
      <c r="N331" s="24">
        <v>3000.0</v>
      </c>
      <c r="O331" s="24">
        <v>3000.0</v>
      </c>
    </row>
    <row r="332">
      <c r="C332" s="16" t="s">
        <v>318</v>
      </c>
      <c r="D332" s="24">
        <v>4500.0</v>
      </c>
      <c r="E332" s="24">
        <v>5000.0</v>
      </c>
      <c r="F332" s="24">
        <v>5000.0</v>
      </c>
      <c r="G332" s="24">
        <v>5000.0</v>
      </c>
      <c r="H332" s="24">
        <v>5000.0</v>
      </c>
      <c r="I332" s="24">
        <v>5000.0</v>
      </c>
      <c r="J332" s="24">
        <v>5500.0</v>
      </c>
      <c r="K332" s="24">
        <v>5500.0</v>
      </c>
      <c r="L332" s="24">
        <v>5500.0</v>
      </c>
      <c r="M332" s="24">
        <v>6000.0</v>
      </c>
      <c r="N332" s="24">
        <v>6000.0</v>
      </c>
      <c r="O332" s="24">
        <v>6000.0</v>
      </c>
    </row>
    <row r="333">
      <c r="C333" s="16" t="s">
        <v>319</v>
      </c>
      <c r="D333" s="24">
        <v>4500.0</v>
      </c>
      <c r="E333" s="24">
        <v>5000.0</v>
      </c>
      <c r="F333" s="24">
        <v>5000.0</v>
      </c>
      <c r="G333" s="24">
        <v>5000.0</v>
      </c>
      <c r="H333" s="24">
        <v>5000.0</v>
      </c>
      <c r="I333" s="24">
        <v>5000.0</v>
      </c>
      <c r="J333" s="24">
        <v>5500.0</v>
      </c>
      <c r="K333" s="24">
        <v>5500.0</v>
      </c>
      <c r="L333" s="24">
        <v>5500.0</v>
      </c>
      <c r="M333" s="24">
        <v>6000.0</v>
      </c>
      <c r="N333" s="24">
        <v>6000.0</v>
      </c>
      <c r="O333" s="24">
        <v>6000.0</v>
      </c>
    </row>
    <row r="334">
      <c r="C334" s="52" t="s">
        <v>320</v>
      </c>
      <c r="D334" s="24">
        <v>10000.0</v>
      </c>
      <c r="E334" s="24">
        <v>10000.0</v>
      </c>
      <c r="F334" s="24">
        <v>10000.0</v>
      </c>
      <c r="G334" s="24">
        <v>12000.0</v>
      </c>
      <c r="H334" s="24">
        <v>12000.0</v>
      </c>
      <c r="I334" s="24">
        <v>12000.0</v>
      </c>
      <c r="J334" s="24">
        <v>12000.0</v>
      </c>
      <c r="K334" s="24">
        <v>12000.0</v>
      </c>
      <c r="L334" s="24">
        <v>12000.0</v>
      </c>
      <c r="M334" s="24">
        <v>12000.0</v>
      </c>
      <c r="N334" s="24">
        <v>12000.0</v>
      </c>
      <c r="O334" s="24">
        <v>12000.0</v>
      </c>
    </row>
    <row r="335">
      <c r="C335" s="52" t="s">
        <v>321</v>
      </c>
      <c r="D335" s="24">
        <v>5500.0</v>
      </c>
      <c r="E335" s="24">
        <v>5500.0</v>
      </c>
      <c r="F335" s="24">
        <v>5500.0</v>
      </c>
      <c r="G335" s="24">
        <v>5500.0</v>
      </c>
      <c r="H335" s="24">
        <v>5500.0</v>
      </c>
      <c r="I335" s="24">
        <v>6000.0</v>
      </c>
      <c r="J335" s="24">
        <v>6000.0</v>
      </c>
      <c r="K335" s="24">
        <v>6000.0</v>
      </c>
      <c r="L335" s="24">
        <v>7000.0</v>
      </c>
      <c r="M335" s="24">
        <v>7000.0</v>
      </c>
      <c r="N335" s="24">
        <v>7000.0</v>
      </c>
      <c r="O335" s="24">
        <v>7000.0</v>
      </c>
    </row>
    <row r="336">
      <c r="C336" s="52" t="s">
        <v>322</v>
      </c>
      <c r="D336" s="36"/>
      <c r="E336" s="36"/>
      <c r="F336" s="36"/>
      <c r="G336" s="24"/>
      <c r="H336" s="24"/>
      <c r="I336" s="24">
        <v>7000.0</v>
      </c>
      <c r="J336" s="24">
        <v>7000.0</v>
      </c>
      <c r="K336" s="24">
        <v>7000.0</v>
      </c>
      <c r="L336" s="24">
        <v>7000.0</v>
      </c>
      <c r="M336" s="24">
        <v>8000.0</v>
      </c>
      <c r="N336" s="24">
        <v>8000.0</v>
      </c>
      <c r="O336" s="24">
        <v>8000.0</v>
      </c>
    </row>
    <row r="337">
      <c r="C337" s="52" t="s">
        <v>323</v>
      </c>
      <c r="D337" s="24"/>
      <c r="E337" s="24"/>
      <c r="F337" s="24"/>
      <c r="G337" s="24"/>
      <c r="H337" s="24"/>
      <c r="I337" s="24">
        <v>4000.0</v>
      </c>
      <c r="J337" s="24">
        <v>4000.0</v>
      </c>
      <c r="K337" s="24">
        <v>4000.0</v>
      </c>
      <c r="L337" s="24">
        <v>5000.0</v>
      </c>
      <c r="M337" s="24">
        <v>5000.0</v>
      </c>
      <c r="N337" s="24">
        <v>5000.0</v>
      </c>
      <c r="O337" s="24">
        <v>5000.0</v>
      </c>
    </row>
    <row r="339">
      <c r="C339" s="69" t="s">
        <v>324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8"/>
    </row>
    <row r="340">
      <c r="C340" s="70" t="s">
        <v>44</v>
      </c>
      <c r="D340" s="71" t="s">
        <v>45</v>
      </c>
      <c r="E340" s="7"/>
      <c r="F340" s="8"/>
      <c r="G340" s="71" t="s">
        <v>46</v>
      </c>
      <c r="H340" s="7"/>
      <c r="I340" s="8"/>
      <c r="J340" s="71" t="s">
        <v>47</v>
      </c>
      <c r="K340" s="7"/>
      <c r="L340" s="8"/>
      <c r="M340" s="71" t="s">
        <v>48</v>
      </c>
      <c r="N340" s="7"/>
      <c r="O340" s="8"/>
    </row>
    <row r="341">
      <c r="C341" s="70" t="s">
        <v>49</v>
      </c>
      <c r="D341" s="72" t="s">
        <v>50</v>
      </c>
      <c r="E341" s="72" t="s">
        <v>51</v>
      </c>
      <c r="F341" s="72" t="s">
        <v>52</v>
      </c>
      <c r="G341" s="72" t="s">
        <v>53</v>
      </c>
      <c r="H341" s="72" t="s">
        <v>54</v>
      </c>
      <c r="I341" s="72" t="s">
        <v>55</v>
      </c>
      <c r="J341" s="72" t="s">
        <v>56</v>
      </c>
      <c r="K341" s="72" t="s">
        <v>57</v>
      </c>
      <c r="L341" s="72" t="s">
        <v>58</v>
      </c>
      <c r="M341" s="72" t="s">
        <v>59</v>
      </c>
      <c r="N341" s="72" t="s">
        <v>60</v>
      </c>
      <c r="O341" s="72" t="s">
        <v>61</v>
      </c>
    </row>
    <row r="342">
      <c r="C342" s="52" t="s">
        <v>325</v>
      </c>
      <c r="D342" s="42">
        <f t="shared" ref="D342:O342" si="69">SUM(D343:D345)</f>
        <v>47560</v>
      </c>
      <c r="E342" s="42">
        <f t="shared" si="69"/>
        <v>49889.6</v>
      </c>
      <c r="F342" s="42">
        <f t="shared" si="69"/>
        <v>52009.536</v>
      </c>
      <c r="G342" s="42">
        <f t="shared" si="69"/>
        <v>52638.67776</v>
      </c>
      <c r="H342" s="42">
        <f t="shared" si="69"/>
        <v>54758.19676</v>
      </c>
      <c r="I342" s="42">
        <f t="shared" si="69"/>
        <v>56686.95905</v>
      </c>
      <c r="J342" s="42">
        <f t="shared" si="69"/>
        <v>59642.13274</v>
      </c>
      <c r="K342" s="42">
        <f t="shared" si="69"/>
        <v>61603.34079</v>
      </c>
      <c r="L342" s="42">
        <f t="shared" si="69"/>
        <v>63388.04012</v>
      </c>
      <c r="M342" s="42">
        <f t="shared" si="69"/>
        <v>63712.11651</v>
      </c>
      <c r="N342" s="42">
        <f t="shared" si="69"/>
        <v>65554.02602</v>
      </c>
      <c r="O342" s="42">
        <f t="shared" si="69"/>
        <v>67230.16368</v>
      </c>
    </row>
    <row r="343">
      <c r="C343" s="52" t="s">
        <v>326</v>
      </c>
      <c r="D343" s="50">
        <v>15000.0</v>
      </c>
      <c r="E343" s="50">
        <v>15000.0</v>
      </c>
      <c r="F343" s="50">
        <v>15000.0</v>
      </c>
      <c r="G343" s="50">
        <v>12500.0</v>
      </c>
      <c r="H343" s="50">
        <v>12500.0</v>
      </c>
      <c r="I343" s="50">
        <v>12500.0</v>
      </c>
      <c r="J343" s="50">
        <v>12500.0</v>
      </c>
      <c r="K343" s="50">
        <v>12500.0</v>
      </c>
      <c r="L343" s="50">
        <v>12500.0</v>
      </c>
      <c r="M343" s="50">
        <v>10000.0</v>
      </c>
      <c r="N343" s="50">
        <v>10000.0</v>
      </c>
      <c r="O343" s="50">
        <v>10000.0</v>
      </c>
    </row>
    <row r="344">
      <c r="C344" s="52" t="s">
        <v>327</v>
      </c>
      <c r="D344" s="50">
        <v>10000.0</v>
      </c>
      <c r="E344" s="50">
        <v>10000.0</v>
      </c>
      <c r="F344" s="50">
        <v>10000.0</v>
      </c>
      <c r="G344" s="50">
        <v>10000.0</v>
      </c>
      <c r="H344" s="50">
        <v>10000.0</v>
      </c>
      <c r="I344" s="50">
        <v>10000.0</v>
      </c>
      <c r="J344" s="50">
        <v>10000.0</v>
      </c>
      <c r="K344" s="50">
        <v>10000.0</v>
      </c>
      <c r="L344" s="50">
        <v>10000.0</v>
      </c>
      <c r="M344" s="50">
        <v>10000.0</v>
      </c>
      <c r="N344" s="50">
        <v>10000.0</v>
      </c>
      <c r="O344" s="50">
        <v>10000.0</v>
      </c>
    </row>
    <row r="345">
      <c r="C345" s="52" t="s">
        <v>328</v>
      </c>
      <c r="D345" s="50">
        <f t="shared" ref="D345:O345" si="70">D84*8%</f>
        <v>22560</v>
      </c>
      <c r="E345" s="50">
        <f t="shared" si="70"/>
        <v>24889.6</v>
      </c>
      <c r="F345" s="50">
        <f t="shared" si="70"/>
        <v>27009.536</v>
      </c>
      <c r="G345" s="50">
        <f t="shared" si="70"/>
        <v>30138.67776</v>
      </c>
      <c r="H345" s="50">
        <f t="shared" si="70"/>
        <v>32258.19676</v>
      </c>
      <c r="I345" s="50">
        <f t="shared" si="70"/>
        <v>34186.95905</v>
      </c>
      <c r="J345" s="50">
        <f t="shared" si="70"/>
        <v>37142.13274</v>
      </c>
      <c r="K345" s="50">
        <f t="shared" si="70"/>
        <v>39103.34079</v>
      </c>
      <c r="L345" s="50">
        <f t="shared" si="70"/>
        <v>40888.04012</v>
      </c>
      <c r="M345" s="50">
        <f t="shared" si="70"/>
        <v>43712.11651</v>
      </c>
      <c r="N345" s="50">
        <f t="shared" si="70"/>
        <v>45554.02602</v>
      </c>
      <c r="O345" s="50">
        <f t="shared" si="70"/>
        <v>47230.16368</v>
      </c>
    </row>
    <row r="381">
      <c r="E381" s="73"/>
    </row>
  </sheetData>
  <mergeCells count="72">
    <mergeCell ref="C233:O233"/>
    <mergeCell ref="D234:F234"/>
    <mergeCell ref="G234:I234"/>
    <mergeCell ref="J234:L234"/>
    <mergeCell ref="M234:O234"/>
    <mergeCell ref="B253:O253"/>
    <mergeCell ref="C262:O262"/>
    <mergeCell ref="G293:I293"/>
    <mergeCell ref="J293:L293"/>
    <mergeCell ref="D263:F263"/>
    <mergeCell ref="G263:I263"/>
    <mergeCell ref="J263:L263"/>
    <mergeCell ref="M263:O263"/>
    <mergeCell ref="B283:O283"/>
    <mergeCell ref="C292:O292"/>
    <mergeCell ref="D293:F293"/>
    <mergeCell ref="C339:O339"/>
    <mergeCell ref="D340:F340"/>
    <mergeCell ref="G340:I340"/>
    <mergeCell ref="J340:L340"/>
    <mergeCell ref="M340:O340"/>
    <mergeCell ref="M293:O293"/>
    <mergeCell ref="B311:O311"/>
    <mergeCell ref="C319:O319"/>
    <mergeCell ref="D320:F320"/>
    <mergeCell ref="G320:I320"/>
    <mergeCell ref="J320:L320"/>
    <mergeCell ref="M320:O320"/>
    <mergeCell ref="C2:O2"/>
    <mergeCell ref="B9:O9"/>
    <mergeCell ref="C21:O21"/>
    <mergeCell ref="D22:F22"/>
    <mergeCell ref="G22:I22"/>
    <mergeCell ref="J22:L22"/>
    <mergeCell ref="M22:O22"/>
    <mergeCell ref="B52:O52"/>
    <mergeCell ref="C61:O61"/>
    <mergeCell ref="D62:F62"/>
    <mergeCell ref="G62:I62"/>
    <mergeCell ref="J62:L62"/>
    <mergeCell ref="M62:O62"/>
    <mergeCell ref="B82:O82"/>
    <mergeCell ref="C93:O93"/>
    <mergeCell ref="D94:F94"/>
    <mergeCell ref="G94:I94"/>
    <mergeCell ref="J94:L94"/>
    <mergeCell ref="M94:O94"/>
    <mergeCell ref="B112:O112"/>
    <mergeCell ref="C121:O121"/>
    <mergeCell ref="G150:I150"/>
    <mergeCell ref="J150:L150"/>
    <mergeCell ref="D122:F122"/>
    <mergeCell ref="G122:I122"/>
    <mergeCell ref="J122:L122"/>
    <mergeCell ref="M122:O122"/>
    <mergeCell ref="B138:O138"/>
    <mergeCell ref="C149:O149"/>
    <mergeCell ref="D150:F150"/>
    <mergeCell ref="M150:O150"/>
    <mergeCell ref="B170:O170"/>
    <mergeCell ref="C179:O179"/>
    <mergeCell ref="D180:F180"/>
    <mergeCell ref="G180:I180"/>
    <mergeCell ref="J180:L180"/>
    <mergeCell ref="M180:O180"/>
    <mergeCell ref="B199:O199"/>
    <mergeCell ref="C210:O210"/>
    <mergeCell ref="D211:F211"/>
    <mergeCell ref="G211:I211"/>
    <mergeCell ref="J211:L211"/>
    <mergeCell ref="M211:O211"/>
    <mergeCell ref="B222:O22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16" max="16" width="26.25"/>
  </cols>
  <sheetData>
    <row r="1">
      <c r="Q1" s="74">
        <f t="shared" ref="Q1:AB1" si="1">Q10+Q15+Q21+Q26+Q31+Q39+Q44+Q49+Q54+Q59+Q64</f>
        <v>99.3952726</v>
      </c>
      <c r="R1" s="74">
        <f t="shared" si="1"/>
        <v>99.3952726</v>
      </c>
      <c r="S1" s="74">
        <f t="shared" si="1"/>
        <v>99.3952726</v>
      </c>
      <c r="T1" s="74">
        <f t="shared" si="1"/>
        <v>113.1240856</v>
      </c>
      <c r="U1" s="74">
        <f t="shared" si="1"/>
        <v>113.1240856</v>
      </c>
      <c r="V1" s="74">
        <f t="shared" si="1"/>
        <v>113.1240856</v>
      </c>
      <c r="W1" s="74">
        <f t="shared" si="1"/>
        <v>126.8528986</v>
      </c>
      <c r="X1" s="74">
        <f t="shared" si="1"/>
        <v>126.8528986</v>
      </c>
      <c r="Y1" s="74">
        <f t="shared" si="1"/>
        <v>126.8528986</v>
      </c>
      <c r="Z1" s="74">
        <f t="shared" si="1"/>
        <v>140.5817115</v>
      </c>
      <c r="AA1" s="74">
        <f t="shared" si="1"/>
        <v>140.5817115</v>
      </c>
      <c r="AB1" s="74">
        <f t="shared" si="1"/>
        <v>140.5817115</v>
      </c>
    </row>
    <row r="2">
      <c r="B2" s="32" t="s">
        <v>329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P2" s="32" t="s">
        <v>330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8"/>
    </row>
    <row r="3">
      <c r="B3" s="9" t="s">
        <v>44</v>
      </c>
      <c r="C3" s="40" t="s">
        <v>45</v>
      </c>
      <c r="D3" s="7"/>
      <c r="E3" s="8"/>
      <c r="F3" s="40" t="s">
        <v>46</v>
      </c>
      <c r="G3" s="7"/>
      <c r="H3" s="8"/>
      <c r="I3" s="40" t="s">
        <v>47</v>
      </c>
      <c r="J3" s="7"/>
      <c r="K3" s="8"/>
      <c r="L3" s="40" t="s">
        <v>48</v>
      </c>
      <c r="M3" s="7"/>
      <c r="N3" s="8"/>
      <c r="P3" s="9" t="s">
        <v>44</v>
      </c>
      <c r="Q3" s="40" t="s">
        <v>45</v>
      </c>
      <c r="R3" s="7"/>
      <c r="S3" s="8"/>
      <c r="T3" s="40" t="s">
        <v>46</v>
      </c>
      <c r="U3" s="7"/>
      <c r="V3" s="8"/>
      <c r="W3" s="40" t="s">
        <v>47</v>
      </c>
      <c r="X3" s="7"/>
      <c r="Y3" s="8"/>
      <c r="Z3" s="40" t="s">
        <v>48</v>
      </c>
      <c r="AA3" s="7"/>
      <c r="AB3" s="8"/>
    </row>
    <row r="4">
      <c r="B4" s="9" t="s">
        <v>49</v>
      </c>
      <c r="C4" s="17" t="s">
        <v>50</v>
      </c>
      <c r="D4" s="17" t="s">
        <v>51</v>
      </c>
      <c r="E4" s="17" t="s">
        <v>52</v>
      </c>
      <c r="F4" s="17" t="s">
        <v>53</v>
      </c>
      <c r="G4" s="17" t="s">
        <v>54</v>
      </c>
      <c r="H4" s="17" t="s">
        <v>55</v>
      </c>
      <c r="I4" s="17" t="s">
        <v>56</v>
      </c>
      <c r="J4" s="17" t="s">
        <v>57</v>
      </c>
      <c r="K4" s="17" t="s">
        <v>58</v>
      </c>
      <c r="L4" s="17" t="s">
        <v>59</v>
      </c>
      <c r="M4" s="17" t="s">
        <v>60</v>
      </c>
      <c r="N4" s="17" t="s">
        <v>61</v>
      </c>
      <c r="P4" s="9" t="s">
        <v>49</v>
      </c>
      <c r="Q4" s="17" t="s">
        <v>50</v>
      </c>
      <c r="R4" s="17" t="s">
        <v>51</v>
      </c>
      <c r="S4" s="17" t="s">
        <v>52</v>
      </c>
      <c r="T4" s="17" t="s">
        <v>53</v>
      </c>
      <c r="U4" s="17" t="s">
        <v>54</v>
      </c>
      <c r="V4" s="17" t="s">
        <v>55</v>
      </c>
      <c r="W4" s="17" t="s">
        <v>56</v>
      </c>
      <c r="X4" s="17" t="s">
        <v>57</v>
      </c>
      <c r="Y4" s="17" t="s">
        <v>58</v>
      </c>
      <c r="Z4" s="17" t="s">
        <v>59</v>
      </c>
      <c r="AA4" s="17" t="s">
        <v>60</v>
      </c>
      <c r="AB4" s="17" t="s">
        <v>61</v>
      </c>
    </row>
    <row r="5">
      <c r="B5" s="9" t="s">
        <v>101</v>
      </c>
      <c r="C5" s="31">
        <f t="shared" ref="C5:N5" si="2">count(C21:C38)+count(C44:C60)+count(C66:C71)+count(C77:C86)</f>
        <v>27</v>
      </c>
      <c r="D5" s="31">
        <f t="shared" si="2"/>
        <v>28</v>
      </c>
      <c r="E5" s="31">
        <f t="shared" si="2"/>
        <v>30</v>
      </c>
      <c r="F5" s="31">
        <f t="shared" si="2"/>
        <v>31</v>
      </c>
      <c r="G5" s="31">
        <f t="shared" si="2"/>
        <v>31</v>
      </c>
      <c r="H5" s="31">
        <f t="shared" si="2"/>
        <v>31</v>
      </c>
      <c r="I5" s="31">
        <f t="shared" si="2"/>
        <v>31</v>
      </c>
      <c r="J5" s="31">
        <f t="shared" si="2"/>
        <v>32</v>
      </c>
      <c r="K5" s="31">
        <f t="shared" si="2"/>
        <v>33</v>
      </c>
      <c r="L5" s="31">
        <f t="shared" si="2"/>
        <v>34</v>
      </c>
      <c r="M5" s="31">
        <f t="shared" si="2"/>
        <v>34</v>
      </c>
      <c r="N5" s="31">
        <f t="shared" si="2"/>
        <v>35</v>
      </c>
      <c r="P5" s="9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B6" s="9" t="s">
        <v>331</v>
      </c>
      <c r="C6" s="20">
        <f t="shared" ref="C6:N6" si="3">SUM(C7:C15)</f>
        <v>285217.0155</v>
      </c>
      <c r="D6" s="20">
        <f t="shared" si="3"/>
        <v>288717.0155</v>
      </c>
      <c r="E6" s="20">
        <f t="shared" si="3"/>
        <v>314717.0155</v>
      </c>
      <c r="F6" s="20">
        <f t="shared" si="3"/>
        <v>332957.0726</v>
      </c>
      <c r="G6" s="20">
        <f t="shared" si="3"/>
        <v>417957.0726</v>
      </c>
      <c r="H6" s="20">
        <f t="shared" si="3"/>
        <v>357957.0726</v>
      </c>
      <c r="I6" s="20">
        <f t="shared" si="3"/>
        <v>442197.1297</v>
      </c>
      <c r="J6" s="20">
        <f t="shared" si="3"/>
        <v>360197.1297</v>
      </c>
      <c r="K6" s="20">
        <f t="shared" si="3"/>
        <v>373197.1297</v>
      </c>
      <c r="L6" s="20">
        <f t="shared" si="3"/>
        <v>391937.1867</v>
      </c>
      <c r="M6" s="20">
        <f t="shared" si="3"/>
        <v>394437.1867</v>
      </c>
      <c r="N6" s="20">
        <f t="shared" si="3"/>
        <v>417437.1867</v>
      </c>
      <c r="O6" s="11">
        <f>sum(C6:N6)</f>
        <v>4376925.214</v>
      </c>
      <c r="P6" s="9" t="s">
        <v>332</v>
      </c>
      <c r="Q6" s="20">
        <v>200000.0</v>
      </c>
      <c r="R6" s="20">
        <v>200000.0</v>
      </c>
      <c r="S6" s="20">
        <v>200000.0</v>
      </c>
      <c r="T6" s="20">
        <v>220000.0</v>
      </c>
      <c r="U6" s="20">
        <v>220000.0</v>
      </c>
      <c r="V6" s="20">
        <v>220000.0</v>
      </c>
      <c r="W6" s="20">
        <v>240000.0</v>
      </c>
      <c r="X6" s="20">
        <v>240000.0</v>
      </c>
      <c r="Y6" s="20">
        <v>240000.0</v>
      </c>
      <c r="Z6" s="20">
        <v>260000.0</v>
      </c>
      <c r="AA6" s="20">
        <v>260000.0</v>
      </c>
      <c r="AB6" s="20">
        <v>260000.0</v>
      </c>
    </row>
    <row r="7">
      <c r="B7" s="16" t="s">
        <v>333</v>
      </c>
      <c r="C7" s="24">
        <f t="shared" ref="C7:N7" si="4">C21</f>
        <v>26850</v>
      </c>
      <c r="D7" s="24">
        <f t="shared" si="4"/>
        <v>26850</v>
      </c>
      <c r="E7" s="24">
        <f t="shared" si="4"/>
        <v>32850</v>
      </c>
      <c r="F7" s="24">
        <f t="shared" si="4"/>
        <v>33850</v>
      </c>
      <c r="G7" s="24">
        <f t="shared" si="4"/>
        <v>33850</v>
      </c>
      <c r="H7" s="24">
        <f t="shared" si="4"/>
        <v>33850</v>
      </c>
      <c r="I7" s="24">
        <f t="shared" si="4"/>
        <v>34850</v>
      </c>
      <c r="J7" s="24">
        <f t="shared" si="4"/>
        <v>37850</v>
      </c>
      <c r="K7" s="24">
        <f t="shared" si="4"/>
        <v>40850</v>
      </c>
      <c r="L7" s="24">
        <f t="shared" si="4"/>
        <v>43850</v>
      </c>
      <c r="M7" s="24">
        <f t="shared" si="4"/>
        <v>43850</v>
      </c>
      <c r="N7" s="24">
        <f t="shared" si="4"/>
        <v>46850</v>
      </c>
      <c r="P7" s="16" t="s">
        <v>334</v>
      </c>
      <c r="Q7" s="19">
        <v>0.3</v>
      </c>
      <c r="R7" s="19">
        <v>0.3</v>
      </c>
      <c r="S7" s="19">
        <v>0.3</v>
      </c>
      <c r="T7" s="19">
        <v>0.3</v>
      </c>
      <c r="U7" s="19">
        <v>0.3</v>
      </c>
      <c r="V7" s="19">
        <v>0.3</v>
      </c>
      <c r="W7" s="19">
        <v>0.3</v>
      </c>
      <c r="X7" s="19">
        <v>0.3</v>
      </c>
      <c r="Y7" s="19">
        <v>0.3</v>
      </c>
      <c r="Z7" s="19">
        <v>0.3</v>
      </c>
      <c r="AA7" s="19">
        <v>0.3</v>
      </c>
      <c r="AB7" s="19">
        <v>0.3</v>
      </c>
    </row>
    <row r="8">
      <c r="B8" s="16" t="s">
        <v>335</v>
      </c>
      <c r="C8" s="24">
        <f t="shared" ref="C8:N8" si="5">C43</f>
        <v>32200</v>
      </c>
      <c r="D8" s="24">
        <f t="shared" si="5"/>
        <v>35700</v>
      </c>
      <c r="E8" s="24">
        <f t="shared" si="5"/>
        <v>35700</v>
      </c>
      <c r="F8" s="24">
        <f t="shared" si="5"/>
        <v>39200</v>
      </c>
      <c r="G8" s="24">
        <f t="shared" si="5"/>
        <v>39200</v>
      </c>
      <c r="H8" s="24">
        <f t="shared" si="5"/>
        <v>39200</v>
      </c>
      <c r="I8" s="24">
        <f t="shared" si="5"/>
        <v>39200</v>
      </c>
      <c r="J8" s="24">
        <f t="shared" si="5"/>
        <v>39200</v>
      </c>
      <c r="K8" s="24">
        <f t="shared" si="5"/>
        <v>39200</v>
      </c>
      <c r="L8" s="24">
        <f t="shared" si="5"/>
        <v>39200</v>
      </c>
      <c r="M8" s="24">
        <f t="shared" si="5"/>
        <v>39200</v>
      </c>
      <c r="N8" s="24">
        <f t="shared" si="5"/>
        <v>39200</v>
      </c>
      <c r="P8" s="16" t="s">
        <v>159</v>
      </c>
      <c r="Q8" s="23">
        <f t="shared" ref="Q8:AB8" si="6">Q6*Q7</f>
        <v>60000</v>
      </c>
      <c r="R8" s="23">
        <f t="shared" si="6"/>
        <v>60000</v>
      </c>
      <c r="S8" s="23">
        <f t="shared" si="6"/>
        <v>60000</v>
      </c>
      <c r="T8" s="23">
        <f t="shared" si="6"/>
        <v>66000</v>
      </c>
      <c r="U8" s="23">
        <f t="shared" si="6"/>
        <v>66000</v>
      </c>
      <c r="V8" s="23">
        <f t="shared" si="6"/>
        <v>66000</v>
      </c>
      <c r="W8" s="23">
        <f t="shared" si="6"/>
        <v>72000</v>
      </c>
      <c r="X8" s="23">
        <f t="shared" si="6"/>
        <v>72000</v>
      </c>
      <c r="Y8" s="23">
        <f t="shared" si="6"/>
        <v>72000</v>
      </c>
      <c r="Z8" s="23">
        <f t="shared" si="6"/>
        <v>78000</v>
      </c>
      <c r="AA8" s="23">
        <f t="shared" si="6"/>
        <v>78000</v>
      </c>
      <c r="AB8" s="23">
        <f t="shared" si="6"/>
        <v>78000</v>
      </c>
    </row>
    <row r="9">
      <c r="B9" s="16" t="s">
        <v>336</v>
      </c>
      <c r="C9" s="23">
        <f t="shared" ref="C9:N9" si="7">C65</f>
        <v>18000</v>
      </c>
      <c r="D9" s="23">
        <f t="shared" si="7"/>
        <v>18000</v>
      </c>
      <c r="E9" s="23">
        <f t="shared" si="7"/>
        <v>18000</v>
      </c>
      <c r="F9" s="23">
        <f t="shared" si="7"/>
        <v>21000</v>
      </c>
      <c r="G9" s="23">
        <f t="shared" si="7"/>
        <v>21000</v>
      </c>
      <c r="H9" s="23">
        <f t="shared" si="7"/>
        <v>21000</v>
      </c>
      <c r="I9" s="23">
        <f t="shared" si="7"/>
        <v>22000</v>
      </c>
      <c r="J9" s="23">
        <f t="shared" si="7"/>
        <v>22000</v>
      </c>
      <c r="K9" s="23">
        <f t="shared" si="7"/>
        <v>22000</v>
      </c>
      <c r="L9" s="23">
        <f t="shared" si="7"/>
        <v>22000</v>
      </c>
      <c r="M9" s="23">
        <f t="shared" si="7"/>
        <v>22000</v>
      </c>
      <c r="N9" s="23">
        <f t="shared" si="7"/>
        <v>22000</v>
      </c>
      <c r="P9" s="16" t="s">
        <v>337</v>
      </c>
      <c r="Q9" s="24">
        <v>3000.0</v>
      </c>
      <c r="R9" s="24">
        <v>3000.0</v>
      </c>
      <c r="S9" s="24">
        <v>3000.0</v>
      </c>
      <c r="T9" s="24">
        <v>3000.0</v>
      </c>
      <c r="U9" s="24">
        <v>3000.0</v>
      </c>
      <c r="V9" s="24">
        <v>3000.0</v>
      </c>
      <c r="W9" s="24">
        <v>3000.0</v>
      </c>
      <c r="X9" s="24">
        <v>3000.0</v>
      </c>
      <c r="Y9" s="24">
        <v>3000.0</v>
      </c>
      <c r="Z9" s="24">
        <v>3000.0</v>
      </c>
      <c r="AA9" s="24">
        <v>3000.0</v>
      </c>
      <c r="AB9" s="24">
        <v>3000.0</v>
      </c>
    </row>
    <row r="10">
      <c r="B10" s="16" t="s">
        <v>338</v>
      </c>
      <c r="C10" s="24">
        <f t="shared" ref="C10:N10" si="8">(Q6*0.125)+(Q35*0.1)+(50*Q69)</f>
        <v>59167.01554</v>
      </c>
      <c r="D10" s="24">
        <f t="shared" si="8"/>
        <v>59167.01554</v>
      </c>
      <c r="E10" s="24">
        <f t="shared" si="8"/>
        <v>59167.01554</v>
      </c>
      <c r="F10" s="24">
        <f t="shared" si="8"/>
        <v>67907.0726</v>
      </c>
      <c r="G10" s="24">
        <f t="shared" si="8"/>
        <v>67907.0726</v>
      </c>
      <c r="H10" s="24">
        <f t="shared" si="8"/>
        <v>67907.0726</v>
      </c>
      <c r="I10" s="24">
        <f t="shared" si="8"/>
        <v>76647.12966</v>
      </c>
      <c r="J10" s="24">
        <f t="shared" si="8"/>
        <v>76647.12966</v>
      </c>
      <c r="K10" s="24">
        <f t="shared" si="8"/>
        <v>76647.12966</v>
      </c>
      <c r="L10" s="24">
        <f t="shared" si="8"/>
        <v>85387.18672</v>
      </c>
      <c r="M10" s="24">
        <f t="shared" si="8"/>
        <v>85387.18672</v>
      </c>
      <c r="N10" s="24">
        <f t="shared" si="8"/>
        <v>85387.18672</v>
      </c>
      <c r="P10" s="16" t="s">
        <v>160</v>
      </c>
      <c r="Q10" s="31">
        <f t="shared" ref="Q10:AB10" si="9">Q8/Q9</f>
        <v>20</v>
      </c>
      <c r="R10" s="31">
        <f t="shared" si="9"/>
        <v>20</v>
      </c>
      <c r="S10" s="31">
        <f t="shared" si="9"/>
        <v>20</v>
      </c>
      <c r="T10" s="31">
        <f t="shared" si="9"/>
        <v>22</v>
      </c>
      <c r="U10" s="31">
        <f t="shared" si="9"/>
        <v>22</v>
      </c>
      <c r="V10" s="31">
        <f t="shared" si="9"/>
        <v>22</v>
      </c>
      <c r="W10" s="31">
        <f t="shared" si="9"/>
        <v>24</v>
      </c>
      <c r="X10" s="31">
        <f t="shared" si="9"/>
        <v>24</v>
      </c>
      <c r="Y10" s="31">
        <f t="shared" si="9"/>
        <v>24</v>
      </c>
      <c r="Z10" s="31">
        <f t="shared" si="9"/>
        <v>26</v>
      </c>
      <c r="AA10" s="31">
        <f t="shared" si="9"/>
        <v>26</v>
      </c>
      <c r="AB10" s="31">
        <f t="shared" si="9"/>
        <v>26</v>
      </c>
    </row>
    <row r="11">
      <c r="B11" s="16" t="s">
        <v>339</v>
      </c>
      <c r="C11" s="24">
        <f t="shared" ref="C11:N11" si="10">C76</f>
        <v>26500</v>
      </c>
      <c r="D11" s="24">
        <f t="shared" si="10"/>
        <v>26500</v>
      </c>
      <c r="E11" s="24">
        <f t="shared" si="10"/>
        <v>26500</v>
      </c>
      <c r="F11" s="24">
        <f t="shared" si="10"/>
        <v>28500</v>
      </c>
      <c r="G11" s="24">
        <f t="shared" si="10"/>
        <v>28500</v>
      </c>
      <c r="H11" s="24">
        <f t="shared" si="10"/>
        <v>28500</v>
      </c>
      <c r="I11" s="24">
        <f t="shared" si="10"/>
        <v>32000</v>
      </c>
      <c r="J11" s="24">
        <f t="shared" si="10"/>
        <v>32000</v>
      </c>
      <c r="K11" s="24">
        <f t="shared" si="10"/>
        <v>32000</v>
      </c>
      <c r="L11" s="24">
        <f t="shared" si="10"/>
        <v>34000</v>
      </c>
      <c r="M11" s="24">
        <f t="shared" si="10"/>
        <v>34000</v>
      </c>
      <c r="N11" s="24">
        <f t="shared" si="10"/>
        <v>34000</v>
      </c>
    </row>
    <row r="12">
      <c r="B12" s="16" t="s">
        <v>340</v>
      </c>
      <c r="C12" s="42">
        <v>100000.0</v>
      </c>
      <c r="D12" s="42">
        <v>100000.0</v>
      </c>
      <c r="E12" s="42">
        <v>100000.0</v>
      </c>
      <c r="F12" s="50">
        <v>110000.0</v>
      </c>
      <c r="G12" s="50">
        <v>110000.0</v>
      </c>
      <c r="H12" s="50">
        <v>110000.0</v>
      </c>
      <c r="I12" s="50">
        <v>120000.0</v>
      </c>
      <c r="J12" s="50">
        <v>120000.0</v>
      </c>
      <c r="K12" s="50">
        <v>120000.0</v>
      </c>
      <c r="L12" s="50">
        <v>130000.0</v>
      </c>
      <c r="M12" s="50">
        <v>130000.0</v>
      </c>
      <c r="N12" s="50">
        <v>130000.0</v>
      </c>
      <c r="P12" s="16" t="s">
        <v>341</v>
      </c>
      <c r="Q12" s="19">
        <v>0.25</v>
      </c>
      <c r="R12" s="19">
        <v>0.25</v>
      </c>
      <c r="S12" s="19">
        <v>0.25</v>
      </c>
      <c r="T12" s="19">
        <v>0.25</v>
      </c>
      <c r="U12" s="19">
        <v>0.25</v>
      </c>
      <c r="V12" s="19">
        <v>0.25</v>
      </c>
      <c r="W12" s="19">
        <v>0.25</v>
      </c>
      <c r="X12" s="19">
        <v>0.25</v>
      </c>
      <c r="Y12" s="19">
        <v>0.25</v>
      </c>
      <c r="Z12" s="19">
        <v>0.25</v>
      </c>
      <c r="AA12" s="19">
        <v>0.25</v>
      </c>
      <c r="AB12" s="19">
        <v>0.25</v>
      </c>
    </row>
    <row r="13">
      <c r="B13" s="34" t="s">
        <v>342</v>
      </c>
      <c r="C13" s="24">
        <v>5000.0</v>
      </c>
      <c r="D13" s="24">
        <v>5000.0</v>
      </c>
      <c r="E13" s="24">
        <v>25000.0</v>
      </c>
      <c r="F13" s="24">
        <v>15000.0</v>
      </c>
      <c r="G13" s="24">
        <v>100000.0</v>
      </c>
      <c r="H13" s="24">
        <v>40000.0</v>
      </c>
      <c r="I13" s="24">
        <v>100000.0</v>
      </c>
      <c r="J13" s="24">
        <v>15000.0</v>
      </c>
      <c r="K13" s="24">
        <v>25000.0</v>
      </c>
      <c r="L13" s="24">
        <v>20000.0</v>
      </c>
      <c r="M13" s="24">
        <v>5000.0</v>
      </c>
      <c r="N13" s="24">
        <v>25000.0</v>
      </c>
      <c r="P13" s="16" t="s">
        <v>208</v>
      </c>
      <c r="Q13" s="24">
        <f t="shared" ref="Q13:AB13" si="11">Q6*Q12</f>
        <v>50000</v>
      </c>
      <c r="R13" s="24">
        <f t="shared" si="11"/>
        <v>50000</v>
      </c>
      <c r="S13" s="24">
        <f t="shared" si="11"/>
        <v>50000</v>
      </c>
      <c r="T13" s="24">
        <f t="shared" si="11"/>
        <v>55000</v>
      </c>
      <c r="U13" s="24">
        <f t="shared" si="11"/>
        <v>55000</v>
      </c>
      <c r="V13" s="24">
        <f t="shared" si="11"/>
        <v>55000</v>
      </c>
      <c r="W13" s="24">
        <f t="shared" si="11"/>
        <v>60000</v>
      </c>
      <c r="X13" s="24">
        <f t="shared" si="11"/>
        <v>60000</v>
      </c>
      <c r="Y13" s="24">
        <f t="shared" si="11"/>
        <v>60000</v>
      </c>
      <c r="Z13" s="24">
        <f t="shared" si="11"/>
        <v>65000</v>
      </c>
      <c r="AA13" s="24">
        <f t="shared" si="11"/>
        <v>65000</v>
      </c>
      <c r="AB13" s="24">
        <f t="shared" si="11"/>
        <v>65000</v>
      </c>
    </row>
    <row r="14">
      <c r="B14" s="34" t="s">
        <v>343</v>
      </c>
      <c r="C14" s="24">
        <v>12500.0</v>
      </c>
      <c r="D14" s="24">
        <v>12500.0</v>
      </c>
      <c r="E14" s="24">
        <v>12500.0</v>
      </c>
      <c r="F14" s="24">
        <v>12500.0</v>
      </c>
      <c r="G14" s="24">
        <v>12500.0</v>
      </c>
      <c r="H14" s="24">
        <v>12500.0</v>
      </c>
      <c r="I14" s="24">
        <v>12500.0</v>
      </c>
      <c r="J14" s="24">
        <v>12500.0</v>
      </c>
      <c r="K14" s="24">
        <v>12500.0</v>
      </c>
      <c r="L14" s="24">
        <v>12500.0</v>
      </c>
      <c r="M14" s="24">
        <v>30000.0</v>
      </c>
      <c r="N14" s="24">
        <v>30000.0</v>
      </c>
      <c r="P14" s="16" t="s">
        <v>344</v>
      </c>
      <c r="Q14" s="24">
        <v>5000.0</v>
      </c>
      <c r="R14" s="24">
        <v>5000.0</v>
      </c>
      <c r="S14" s="24">
        <v>5000.0</v>
      </c>
      <c r="T14" s="24">
        <v>5000.0</v>
      </c>
      <c r="U14" s="24">
        <v>5000.0</v>
      </c>
      <c r="V14" s="24">
        <v>5000.0</v>
      </c>
      <c r="W14" s="24">
        <v>5000.0</v>
      </c>
      <c r="X14" s="24">
        <v>5000.0</v>
      </c>
      <c r="Y14" s="24">
        <v>5000.0</v>
      </c>
      <c r="Z14" s="24">
        <v>5000.0</v>
      </c>
      <c r="AA14" s="24">
        <v>5000.0</v>
      </c>
      <c r="AB14" s="24">
        <v>5000.0</v>
      </c>
    </row>
    <row r="15">
      <c r="B15" s="16" t="s">
        <v>345</v>
      </c>
      <c r="C15" s="24">
        <v>5000.0</v>
      </c>
      <c r="D15" s="24">
        <v>5000.0</v>
      </c>
      <c r="E15" s="24">
        <v>5000.0</v>
      </c>
      <c r="F15" s="24">
        <v>5000.0</v>
      </c>
      <c r="G15" s="24">
        <v>5000.0</v>
      </c>
      <c r="H15" s="24">
        <v>5000.0</v>
      </c>
      <c r="I15" s="24">
        <v>5000.0</v>
      </c>
      <c r="J15" s="24">
        <v>5000.0</v>
      </c>
      <c r="K15" s="24">
        <v>5000.0</v>
      </c>
      <c r="L15" s="24">
        <v>5000.0</v>
      </c>
      <c r="M15" s="24">
        <v>5000.0</v>
      </c>
      <c r="N15" s="24">
        <v>5000.0</v>
      </c>
      <c r="P15" s="16" t="s">
        <v>209</v>
      </c>
      <c r="Q15" s="31">
        <f t="shared" ref="Q15:AB15" si="12">Q13/Q14</f>
        <v>10</v>
      </c>
      <c r="R15" s="31">
        <f t="shared" si="12"/>
        <v>10</v>
      </c>
      <c r="S15" s="31">
        <f t="shared" si="12"/>
        <v>10</v>
      </c>
      <c r="T15" s="31">
        <f t="shared" si="12"/>
        <v>11</v>
      </c>
      <c r="U15" s="31">
        <f t="shared" si="12"/>
        <v>11</v>
      </c>
      <c r="V15" s="31">
        <f t="shared" si="12"/>
        <v>11</v>
      </c>
      <c r="W15" s="31">
        <f t="shared" si="12"/>
        <v>12</v>
      </c>
      <c r="X15" s="31">
        <f t="shared" si="12"/>
        <v>12</v>
      </c>
      <c r="Y15" s="31">
        <f t="shared" si="12"/>
        <v>12</v>
      </c>
      <c r="Z15" s="31">
        <f t="shared" si="12"/>
        <v>13</v>
      </c>
      <c r="AA15" s="31">
        <f t="shared" si="12"/>
        <v>13</v>
      </c>
      <c r="AB15" s="31">
        <f t="shared" si="12"/>
        <v>13</v>
      </c>
    </row>
    <row r="16">
      <c r="B16" s="15"/>
      <c r="C16" s="75">
        <f t="shared" ref="C16:N16" si="13">C6/Q1</f>
        <v>2869.522947</v>
      </c>
      <c r="D16" s="75">
        <f t="shared" si="13"/>
        <v>2904.735889</v>
      </c>
      <c r="E16" s="75">
        <f t="shared" si="13"/>
        <v>3166.317746</v>
      </c>
      <c r="F16" s="75">
        <f t="shared" si="13"/>
        <v>2943.290732</v>
      </c>
      <c r="G16" s="75">
        <f t="shared" si="13"/>
        <v>3694.678021</v>
      </c>
      <c r="H16" s="75">
        <f t="shared" si="13"/>
        <v>3164.286993</v>
      </c>
      <c r="I16" s="75">
        <f t="shared" si="13"/>
        <v>3485.904813</v>
      </c>
      <c r="J16" s="75">
        <f t="shared" si="13"/>
        <v>2839.48679</v>
      </c>
      <c r="K16" s="75">
        <f t="shared" si="13"/>
        <v>2941.967696</v>
      </c>
      <c r="L16" s="75">
        <f t="shared" si="13"/>
        <v>2787.967101</v>
      </c>
      <c r="M16" s="75">
        <f t="shared" si="13"/>
        <v>2805.750353</v>
      </c>
      <c r="N16" s="75">
        <f t="shared" si="13"/>
        <v>2969.356271</v>
      </c>
    </row>
    <row r="17">
      <c r="B17" s="15"/>
      <c r="C17" s="75">
        <f t="shared" ref="C17:N17" si="14">C12/Q1</f>
        <v>1006.084066</v>
      </c>
      <c r="D17" s="75">
        <f t="shared" si="14"/>
        <v>1006.084066</v>
      </c>
      <c r="E17" s="75">
        <f t="shared" si="14"/>
        <v>1006.084066</v>
      </c>
      <c r="F17" s="75">
        <f t="shared" si="14"/>
        <v>972.3835507</v>
      </c>
      <c r="G17" s="75">
        <f t="shared" si="14"/>
        <v>972.3835507</v>
      </c>
      <c r="H17" s="75">
        <f t="shared" si="14"/>
        <v>972.3835507</v>
      </c>
      <c r="I17" s="75">
        <f t="shared" si="14"/>
        <v>945.9775959</v>
      </c>
      <c r="J17" s="75">
        <f t="shared" si="14"/>
        <v>945.9775959</v>
      </c>
      <c r="K17" s="75">
        <f t="shared" si="14"/>
        <v>945.9775959</v>
      </c>
      <c r="L17" s="75">
        <f t="shared" si="14"/>
        <v>924.729103</v>
      </c>
      <c r="M17" s="75">
        <f t="shared" si="14"/>
        <v>924.729103</v>
      </c>
      <c r="N17" s="75">
        <f t="shared" si="14"/>
        <v>924.729103</v>
      </c>
      <c r="P17" s="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B18" s="40" t="s">
        <v>346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P18" s="16" t="s">
        <v>347</v>
      </c>
      <c r="Q18" s="19">
        <v>0.2</v>
      </c>
      <c r="R18" s="19">
        <v>0.2</v>
      </c>
      <c r="S18" s="19">
        <v>0.2</v>
      </c>
      <c r="T18" s="19">
        <v>0.2</v>
      </c>
      <c r="U18" s="19">
        <v>0.2</v>
      </c>
      <c r="V18" s="19">
        <v>0.2</v>
      </c>
      <c r="W18" s="19">
        <v>0.2</v>
      </c>
      <c r="X18" s="19">
        <v>0.2</v>
      </c>
      <c r="Y18" s="19">
        <v>0.2</v>
      </c>
      <c r="Z18" s="19">
        <v>0.2</v>
      </c>
      <c r="AA18" s="19">
        <v>0.2</v>
      </c>
      <c r="AB18" s="19">
        <v>0.2</v>
      </c>
    </row>
    <row r="19">
      <c r="B19" s="16" t="s">
        <v>44</v>
      </c>
      <c r="C19" s="6" t="s">
        <v>45</v>
      </c>
      <c r="D19" s="7"/>
      <c r="E19" s="8"/>
      <c r="F19" s="6" t="s">
        <v>46</v>
      </c>
      <c r="G19" s="7"/>
      <c r="H19" s="8"/>
      <c r="I19" s="6" t="s">
        <v>47</v>
      </c>
      <c r="J19" s="7"/>
      <c r="K19" s="8"/>
      <c r="L19" s="6" t="s">
        <v>48</v>
      </c>
      <c r="M19" s="7"/>
      <c r="N19" s="8"/>
      <c r="P19" s="16" t="s">
        <v>227</v>
      </c>
      <c r="Q19" s="47">
        <f t="shared" ref="Q19:AB19" si="15">Q6*Q18</f>
        <v>40000</v>
      </c>
      <c r="R19" s="47">
        <f t="shared" si="15"/>
        <v>40000</v>
      </c>
      <c r="S19" s="47">
        <f t="shared" si="15"/>
        <v>40000</v>
      </c>
      <c r="T19" s="47">
        <f t="shared" si="15"/>
        <v>44000</v>
      </c>
      <c r="U19" s="47">
        <f t="shared" si="15"/>
        <v>44000</v>
      </c>
      <c r="V19" s="47">
        <f t="shared" si="15"/>
        <v>44000</v>
      </c>
      <c r="W19" s="47">
        <f t="shared" si="15"/>
        <v>48000</v>
      </c>
      <c r="X19" s="47">
        <f t="shared" si="15"/>
        <v>48000</v>
      </c>
      <c r="Y19" s="47">
        <f t="shared" si="15"/>
        <v>48000</v>
      </c>
      <c r="Z19" s="47">
        <f t="shared" si="15"/>
        <v>52000</v>
      </c>
      <c r="AA19" s="47">
        <f t="shared" si="15"/>
        <v>52000</v>
      </c>
      <c r="AB19" s="47">
        <f t="shared" si="15"/>
        <v>52000</v>
      </c>
    </row>
    <row r="20">
      <c r="B20" s="16" t="s">
        <v>49</v>
      </c>
      <c r="C20" s="10" t="s">
        <v>50</v>
      </c>
      <c r="D20" s="10" t="s">
        <v>51</v>
      </c>
      <c r="E20" s="10" t="s">
        <v>52</v>
      </c>
      <c r="F20" s="10" t="s">
        <v>53</v>
      </c>
      <c r="G20" s="10" t="s">
        <v>54</v>
      </c>
      <c r="H20" s="10" t="s">
        <v>55</v>
      </c>
      <c r="I20" s="10" t="s">
        <v>56</v>
      </c>
      <c r="J20" s="10" t="s">
        <v>57</v>
      </c>
      <c r="K20" s="10" t="s">
        <v>58</v>
      </c>
      <c r="L20" s="10" t="s">
        <v>59</v>
      </c>
      <c r="M20" s="10" t="s">
        <v>60</v>
      </c>
      <c r="N20" s="10" t="s">
        <v>61</v>
      </c>
      <c r="P20" s="16" t="s">
        <v>348</v>
      </c>
      <c r="Q20" s="24">
        <v>2300.0</v>
      </c>
      <c r="R20" s="24">
        <v>2300.0</v>
      </c>
      <c r="S20" s="24">
        <v>2300.0</v>
      </c>
      <c r="T20" s="24">
        <v>2300.0</v>
      </c>
      <c r="U20" s="24">
        <v>2300.0</v>
      </c>
      <c r="V20" s="24">
        <v>2300.0</v>
      </c>
      <c r="W20" s="24">
        <v>2300.0</v>
      </c>
      <c r="X20" s="24">
        <v>2300.0</v>
      </c>
      <c r="Y20" s="24">
        <v>2300.0</v>
      </c>
      <c r="Z20" s="24">
        <v>2300.0</v>
      </c>
      <c r="AA20" s="24">
        <v>2300.0</v>
      </c>
      <c r="AB20" s="24">
        <v>2300.0</v>
      </c>
    </row>
    <row r="21">
      <c r="B21" s="16" t="s">
        <v>349</v>
      </c>
      <c r="C21" s="24">
        <f t="shared" ref="C21:N21" si="16">SUM(C22:C38)</f>
        <v>26850</v>
      </c>
      <c r="D21" s="24">
        <f t="shared" si="16"/>
        <v>26850</v>
      </c>
      <c r="E21" s="24">
        <f t="shared" si="16"/>
        <v>32850</v>
      </c>
      <c r="F21" s="24">
        <f t="shared" si="16"/>
        <v>33850</v>
      </c>
      <c r="G21" s="24">
        <f t="shared" si="16"/>
        <v>33850</v>
      </c>
      <c r="H21" s="24">
        <f t="shared" si="16"/>
        <v>33850</v>
      </c>
      <c r="I21" s="24">
        <f t="shared" si="16"/>
        <v>34850</v>
      </c>
      <c r="J21" s="24">
        <f t="shared" si="16"/>
        <v>37850</v>
      </c>
      <c r="K21" s="24">
        <f t="shared" si="16"/>
        <v>40850</v>
      </c>
      <c r="L21" s="24">
        <f t="shared" si="16"/>
        <v>43850</v>
      </c>
      <c r="M21" s="24">
        <f t="shared" si="16"/>
        <v>43850</v>
      </c>
      <c r="N21" s="24">
        <f t="shared" si="16"/>
        <v>46850</v>
      </c>
      <c r="P21" s="16" t="s">
        <v>228</v>
      </c>
      <c r="Q21" s="30">
        <f t="shared" ref="Q21:AB21" si="17">Q19/Q20</f>
        <v>17.39130435</v>
      </c>
      <c r="R21" s="30">
        <f t="shared" si="17"/>
        <v>17.39130435</v>
      </c>
      <c r="S21" s="30">
        <f t="shared" si="17"/>
        <v>17.39130435</v>
      </c>
      <c r="T21" s="30">
        <f t="shared" si="17"/>
        <v>19.13043478</v>
      </c>
      <c r="U21" s="30">
        <f t="shared" si="17"/>
        <v>19.13043478</v>
      </c>
      <c r="V21" s="30">
        <f t="shared" si="17"/>
        <v>19.13043478</v>
      </c>
      <c r="W21" s="30">
        <f t="shared" si="17"/>
        <v>20.86956522</v>
      </c>
      <c r="X21" s="30">
        <f t="shared" si="17"/>
        <v>20.86956522</v>
      </c>
      <c r="Y21" s="30">
        <f t="shared" si="17"/>
        <v>20.86956522</v>
      </c>
      <c r="Z21" s="30">
        <f t="shared" si="17"/>
        <v>22.60869565</v>
      </c>
      <c r="AA21" s="30">
        <f t="shared" si="17"/>
        <v>22.60869565</v>
      </c>
      <c r="AB21" s="30">
        <f t="shared" si="17"/>
        <v>22.60869565</v>
      </c>
    </row>
    <row r="22">
      <c r="B22" s="76" t="s">
        <v>350</v>
      </c>
      <c r="C22" s="42">
        <v>3850.0</v>
      </c>
      <c r="D22" s="42">
        <v>3850.0</v>
      </c>
      <c r="E22" s="42">
        <v>3850.0</v>
      </c>
      <c r="F22" s="42">
        <v>3850.0</v>
      </c>
      <c r="G22" s="42">
        <v>3850.0</v>
      </c>
      <c r="H22" s="42">
        <v>3850.0</v>
      </c>
      <c r="I22" s="42">
        <v>3850.0</v>
      </c>
      <c r="J22" s="42">
        <v>3850.0</v>
      </c>
      <c r="K22" s="42">
        <v>3850.0</v>
      </c>
      <c r="L22" s="42">
        <v>3850.0</v>
      </c>
      <c r="M22" s="42">
        <v>3850.0</v>
      </c>
      <c r="N22" s="42">
        <v>3850.0</v>
      </c>
    </row>
    <row r="23">
      <c r="B23" s="76" t="s">
        <v>351</v>
      </c>
      <c r="C23" s="42">
        <v>3000.0</v>
      </c>
      <c r="D23" s="42">
        <v>3000.0</v>
      </c>
      <c r="E23" s="42">
        <v>3000.0</v>
      </c>
      <c r="F23" s="42">
        <v>3000.0</v>
      </c>
      <c r="G23" s="42">
        <v>3000.0</v>
      </c>
      <c r="H23" s="42">
        <v>3000.0</v>
      </c>
      <c r="I23" s="42">
        <v>3000.0</v>
      </c>
      <c r="J23" s="42">
        <v>3000.0</v>
      </c>
      <c r="K23" s="42">
        <v>3000.0</v>
      </c>
      <c r="L23" s="42">
        <v>3000.0</v>
      </c>
      <c r="M23" s="42">
        <v>3000.0</v>
      </c>
      <c r="N23" s="42">
        <v>3000.0</v>
      </c>
      <c r="P23" s="16" t="s">
        <v>352</v>
      </c>
      <c r="Q23" s="19">
        <v>0.15</v>
      </c>
      <c r="R23" s="19">
        <v>0.15</v>
      </c>
      <c r="S23" s="19">
        <v>0.15</v>
      </c>
      <c r="T23" s="19">
        <v>0.15</v>
      </c>
      <c r="U23" s="19">
        <v>0.15</v>
      </c>
      <c r="V23" s="19">
        <v>0.15</v>
      </c>
      <c r="W23" s="19">
        <v>0.15</v>
      </c>
      <c r="X23" s="19">
        <v>0.15</v>
      </c>
      <c r="Y23" s="19">
        <v>0.15</v>
      </c>
      <c r="Z23" s="19">
        <v>0.15</v>
      </c>
      <c r="AA23" s="19">
        <v>0.15</v>
      </c>
      <c r="AB23" s="19">
        <v>0.15</v>
      </c>
    </row>
    <row r="24">
      <c r="B24" s="76" t="s">
        <v>353</v>
      </c>
      <c r="C24" s="42">
        <v>3000.0</v>
      </c>
      <c r="D24" s="42">
        <v>3000.0</v>
      </c>
      <c r="E24" s="42">
        <v>3000.0</v>
      </c>
      <c r="F24" s="42">
        <v>3500.0</v>
      </c>
      <c r="G24" s="42">
        <v>3500.0</v>
      </c>
      <c r="H24" s="42">
        <v>3500.0</v>
      </c>
      <c r="I24" s="42">
        <v>3500.0</v>
      </c>
      <c r="J24" s="42">
        <v>3500.0</v>
      </c>
      <c r="K24" s="42">
        <v>3500.0</v>
      </c>
      <c r="L24" s="42">
        <v>3500.0</v>
      </c>
      <c r="M24" s="42">
        <v>3500.0</v>
      </c>
      <c r="N24" s="42">
        <v>3500.0</v>
      </c>
      <c r="P24" s="16" t="s">
        <v>248</v>
      </c>
      <c r="Q24" s="47">
        <f t="shared" ref="Q24:AB24" si="18">Q6*Q23</f>
        <v>30000</v>
      </c>
      <c r="R24" s="47">
        <f t="shared" si="18"/>
        <v>30000</v>
      </c>
      <c r="S24" s="47">
        <f t="shared" si="18"/>
        <v>30000</v>
      </c>
      <c r="T24" s="47">
        <f t="shared" si="18"/>
        <v>33000</v>
      </c>
      <c r="U24" s="47">
        <f t="shared" si="18"/>
        <v>33000</v>
      </c>
      <c r="V24" s="47">
        <f t="shared" si="18"/>
        <v>33000</v>
      </c>
      <c r="W24" s="47">
        <f t="shared" si="18"/>
        <v>36000</v>
      </c>
      <c r="X24" s="47">
        <f t="shared" si="18"/>
        <v>36000</v>
      </c>
      <c r="Y24" s="47">
        <f t="shared" si="18"/>
        <v>36000</v>
      </c>
      <c r="Z24" s="47">
        <f t="shared" si="18"/>
        <v>39000</v>
      </c>
      <c r="AA24" s="47">
        <f t="shared" si="18"/>
        <v>39000</v>
      </c>
      <c r="AB24" s="47">
        <f t="shared" si="18"/>
        <v>39000</v>
      </c>
    </row>
    <row r="25">
      <c r="B25" s="76" t="s">
        <v>354</v>
      </c>
      <c r="C25" s="42">
        <v>3000.0</v>
      </c>
      <c r="D25" s="42">
        <v>3000.0</v>
      </c>
      <c r="E25" s="42">
        <v>3000.0</v>
      </c>
      <c r="F25" s="42">
        <v>3000.0</v>
      </c>
      <c r="G25" s="42">
        <v>3000.0</v>
      </c>
      <c r="H25" s="42">
        <v>3000.0</v>
      </c>
      <c r="I25" s="42">
        <v>3000.0</v>
      </c>
      <c r="J25" s="42">
        <v>3000.0</v>
      </c>
      <c r="K25" s="42">
        <v>3000.0</v>
      </c>
      <c r="L25" s="42">
        <v>3000.0</v>
      </c>
      <c r="M25" s="42">
        <v>3000.0</v>
      </c>
      <c r="N25" s="42">
        <v>3000.0</v>
      </c>
      <c r="P25" s="16" t="s">
        <v>355</v>
      </c>
      <c r="Q25" s="24">
        <v>10000.0</v>
      </c>
      <c r="R25" s="24">
        <v>10000.0</v>
      </c>
      <c r="S25" s="24">
        <v>10000.0</v>
      </c>
      <c r="T25" s="24">
        <v>10000.0</v>
      </c>
      <c r="U25" s="24">
        <v>10000.0</v>
      </c>
      <c r="V25" s="24">
        <v>10000.0</v>
      </c>
      <c r="W25" s="24">
        <v>10000.0</v>
      </c>
      <c r="X25" s="24">
        <v>10000.0</v>
      </c>
      <c r="Y25" s="24">
        <v>10000.0</v>
      </c>
      <c r="Z25" s="24">
        <v>10000.0</v>
      </c>
      <c r="AA25" s="24">
        <v>10000.0</v>
      </c>
      <c r="AB25" s="24">
        <v>10000.0</v>
      </c>
    </row>
    <row r="26">
      <c r="B26" s="76" t="s">
        <v>356</v>
      </c>
      <c r="C26" s="42">
        <v>3000.0</v>
      </c>
      <c r="D26" s="42">
        <v>3000.0</v>
      </c>
      <c r="E26" s="42">
        <v>3000.0</v>
      </c>
      <c r="F26" s="42">
        <v>3500.0</v>
      </c>
      <c r="G26" s="42">
        <v>3500.0</v>
      </c>
      <c r="H26" s="42">
        <v>3500.0</v>
      </c>
      <c r="I26" s="42">
        <v>3500.0</v>
      </c>
      <c r="J26" s="42">
        <v>3500.0</v>
      </c>
      <c r="K26" s="42">
        <v>3500.0</v>
      </c>
      <c r="L26" s="42">
        <v>3500.0</v>
      </c>
      <c r="M26" s="42">
        <v>3500.0</v>
      </c>
      <c r="N26" s="42">
        <v>3500.0</v>
      </c>
      <c r="P26" s="16" t="s">
        <v>249</v>
      </c>
      <c r="Q26" s="30">
        <f t="shared" ref="Q26:AB26" si="19">Q24/Q25</f>
        <v>3</v>
      </c>
      <c r="R26" s="30">
        <f t="shared" si="19"/>
        <v>3</v>
      </c>
      <c r="S26" s="30">
        <f t="shared" si="19"/>
        <v>3</v>
      </c>
      <c r="T26" s="30">
        <f t="shared" si="19"/>
        <v>3.3</v>
      </c>
      <c r="U26" s="30">
        <f t="shared" si="19"/>
        <v>3.3</v>
      </c>
      <c r="V26" s="30">
        <f t="shared" si="19"/>
        <v>3.3</v>
      </c>
      <c r="W26" s="30">
        <f t="shared" si="19"/>
        <v>3.6</v>
      </c>
      <c r="X26" s="30">
        <f t="shared" si="19"/>
        <v>3.6</v>
      </c>
      <c r="Y26" s="30">
        <f t="shared" si="19"/>
        <v>3.6</v>
      </c>
      <c r="Z26" s="30">
        <f t="shared" si="19"/>
        <v>3.9</v>
      </c>
      <c r="AA26" s="30">
        <f t="shared" si="19"/>
        <v>3.9</v>
      </c>
      <c r="AB26" s="30">
        <f t="shared" si="19"/>
        <v>3.9</v>
      </c>
    </row>
    <row r="27">
      <c r="B27" s="76" t="s">
        <v>357</v>
      </c>
      <c r="C27" s="42">
        <v>3000.0</v>
      </c>
      <c r="D27" s="42">
        <v>3000.0</v>
      </c>
      <c r="E27" s="42">
        <v>3000.0</v>
      </c>
      <c r="F27" s="42">
        <v>3000.0</v>
      </c>
      <c r="G27" s="42">
        <v>3000.0</v>
      </c>
      <c r="H27" s="42">
        <v>3000.0</v>
      </c>
      <c r="I27" s="42">
        <v>3000.0</v>
      </c>
      <c r="J27" s="42">
        <v>3000.0</v>
      </c>
      <c r="K27" s="42">
        <v>3000.0</v>
      </c>
      <c r="L27" s="42">
        <v>3000.0</v>
      </c>
      <c r="M27" s="42">
        <v>3000.0</v>
      </c>
      <c r="N27" s="42">
        <v>3000.0</v>
      </c>
    </row>
    <row r="28">
      <c r="B28" s="76" t="s">
        <v>358</v>
      </c>
      <c r="C28" s="42">
        <v>3000.0</v>
      </c>
      <c r="D28" s="42">
        <v>3000.0</v>
      </c>
      <c r="E28" s="42">
        <v>3000.0</v>
      </c>
      <c r="F28" s="42">
        <v>3000.0</v>
      </c>
      <c r="G28" s="42">
        <v>3000.0</v>
      </c>
      <c r="H28" s="42">
        <v>3000.0</v>
      </c>
      <c r="I28" s="42">
        <v>3500.0</v>
      </c>
      <c r="J28" s="42">
        <v>3500.0</v>
      </c>
      <c r="K28" s="42">
        <v>3500.0</v>
      </c>
      <c r="L28" s="42">
        <v>3500.0</v>
      </c>
      <c r="M28" s="42">
        <v>3500.0</v>
      </c>
      <c r="N28" s="42">
        <v>3500.0</v>
      </c>
      <c r="P28" s="16" t="s">
        <v>359</v>
      </c>
      <c r="Q28" s="19">
        <v>0.1</v>
      </c>
      <c r="R28" s="19">
        <v>0.1</v>
      </c>
      <c r="S28" s="19">
        <v>0.1</v>
      </c>
      <c r="T28" s="19">
        <v>0.1</v>
      </c>
      <c r="U28" s="19">
        <v>0.1</v>
      </c>
      <c r="V28" s="19">
        <v>0.1</v>
      </c>
      <c r="W28" s="19">
        <v>0.1</v>
      </c>
      <c r="X28" s="19">
        <v>0.1</v>
      </c>
      <c r="Y28" s="19">
        <v>0.1</v>
      </c>
      <c r="Z28" s="19">
        <v>0.1</v>
      </c>
      <c r="AA28" s="19">
        <v>0.1</v>
      </c>
      <c r="AB28" s="19">
        <v>0.1</v>
      </c>
    </row>
    <row r="29">
      <c r="B29" s="76" t="s">
        <v>276</v>
      </c>
      <c r="C29" s="42">
        <v>2000.0</v>
      </c>
      <c r="D29" s="42">
        <v>2000.0</v>
      </c>
      <c r="E29" s="42">
        <v>2000.0</v>
      </c>
      <c r="F29" s="42">
        <v>2000.0</v>
      </c>
      <c r="G29" s="42">
        <v>2000.0</v>
      </c>
      <c r="H29" s="42">
        <v>2000.0</v>
      </c>
      <c r="I29" s="42">
        <v>2500.0</v>
      </c>
      <c r="J29" s="42">
        <v>2500.0</v>
      </c>
      <c r="K29" s="42">
        <v>2500.0</v>
      </c>
      <c r="L29" s="42">
        <v>2500.0</v>
      </c>
      <c r="M29" s="42">
        <v>2500.0</v>
      </c>
      <c r="N29" s="42">
        <v>2500.0</v>
      </c>
      <c r="P29" s="16" t="s">
        <v>254</v>
      </c>
      <c r="Q29" s="24">
        <f t="shared" ref="Q29:AB29" si="20">Q6*Q28</f>
        <v>20000</v>
      </c>
      <c r="R29" s="24">
        <f t="shared" si="20"/>
        <v>20000</v>
      </c>
      <c r="S29" s="24">
        <f t="shared" si="20"/>
        <v>20000</v>
      </c>
      <c r="T29" s="24">
        <f t="shared" si="20"/>
        <v>22000</v>
      </c>
      <c r="U29" s="24">
        <f t="shared" si="20"/>
        <v>22000</v>
      </c>
      <c r="V29" s="24">
        <f t="shared" si="20"/>
        <v>22000</v>
      </c>
      <c r="W29" s="24">
        <f t="shared" si="20"/>
        <v>24000</v>
      </c>
      <c r="X29" s="24">
        <f t="shared" si="20"/>
        <v>24000</v>
      </c>
      <c r="Y29" s="24">
        <f t="shared" si="20"/>
        <v>24000</v>
      </c>
      <c r="Z29" s="24">
        <f t="shared" si="20"/>
        <v>26000</v>
      </c>
      <c r="AA29" s="24">
        <f t="shared" si="20"/>
        <v>26000</v>
      </c>
      <c r="AB29" s="24">
        <f t="shared" si="20"/>
        <v>26000</v>
      </c>
    </row>
    <row r="30">
      <c r="B30" s="76" t="s">
        <v>277</v>
      </c>
      <c r="C30" s="42">
        <v>3000.0</v>
      </c>
      <c r="D30" s="42">
        <v>3000.0</v>
      </c>
      <c r="E30" s="42">
        <v>3000.0</v>
      </c>
      <c r="F30" s="42">
        <v>3000.0</v>
      </c>
      <c r="G30" s="42">
        <v>3000.0</v>
      </c>
      <c r="H30" s="42">
        <v>3000.0</v>
      </c>
      <c r="I30" s="42">
        <v>3000.0</v>
      </c>
      <c r="J30" s="42">
        <v>3000.0</v>
      </c>
      <c r="K30" s="42">
        <v>3000.0</v>
      </c>
      <c r="L30" s="42">
        <v>3000.0</v>
      </c>
      <c r="M30" s="42">
        <v>3000.0</v>
      </c>
      <c r="N30" s="42">
        <v>3000.0</v>
      </c>
      <c r="P30" s="16" t="s">
        <v>360</v>
      </c>
      <c r="Q30" s="24">
        <v>1800.0</v>
      </c>
      <c r="R30" s="24">
        <v>1800.0</v>
      </c>
      <c r="S30" s="24">
        <v>1800.0</v>
      </c>
      <c r="T30" s="24">
        <v>1800.0</v>
      </c>
      <c r="U30" s="24">
        <v>1800.0</v>
      </c>
      <c r="V30" s="24">
        <v>1800.0</v>
      </c>
      <c r="W30" s="24">
        <v>1800.0</v>
      </c>
      <c r="X30" s="24">
        <v>1800.0</v>
      </c>
      <c r="Y30" s="24">
        <v>1800.0</v>
      </c>
      <c r="Z30" s="24">
        <v>1800.0</v>
      </c>
      <c r="AA30" s="24">
        <v>1800.0</v>
      </c>
      <c r="AB30" s="24">
        <v>1800.0</v>
      </c>
    </row>
    <row r="31">
      <c r="B31" s="76" t="s">
        <v>278</v>
      </c>
      <c r="C31" s="45"/>
      <c r="D31" s="42"/>
      <c r="E31" s="42">
        <v>3000.0</v>
      </c>
      <c r="F31" s="42">
        <v>3000.0</v>
      </c>
      <c r="G31" s="42">
        <v>3000.0</v>
      </c>
      <c r="H31" s="42">
        <v>3000.0</v>
      </c>
      <c r="I31" s="42">
        <v>3000.0</v>
      </c>
      <c r="J31" s="42">
        <v>3000.0</v>
      </c>
      <c r="K31" s="42">
        <v>3000.0</v>
      </c>
      <c r="L31" s="42">
        <v>3000.0</v>
      </c>
      <c r="M31" s="42">
        <v>3000.0</v>
      </c>
      <c r="N31" s="42">
        <v>3000.0</v>
      </c>
      <c r="P31" s="16" t="s">
        <v>255</v>
      </c>
      <c r="Q31" s="31">
        <f t="shared" ref="Q31:AB31" si="21">Q29/Q30</f>
        <v>11.11111111</v>
      </c>
      <c r="R31" s="31">
        <f t="shared" si="21"/>
        <v>11.11111111</v>
      </c>
      <c r="S31" s="31">
        <f t="shared" si="21"/>
        <v>11.11111111</v>
      </c>
      <c r="T31" s="31">
        <f t="shared" si="21"/>
        <v>12.22222222</v>
      </c>
      <c r="U31" s="31">
        <f t="shared" si="21"/>
        <v>12.22222222</v>
      </c>
      <c r="V31" s="31">
        <f t="shared" si="21"/>
        <v>12.22222222</v>
      </c>
      <c r="W31" s="31">
        <f t="shared" si="21"/>
        <v>13.33333333</v>
      </c>
      <c r="X31" s="31">
        <f t="shared" si="21"/>
        <v>13.33333333</v>
      </c>
      <c r="Y31" s="31">
        <f t="shared" si="21"/>
        <v>13.33333333</v>
      </c>
      <c r="Z31" s="31">
        <f t="shared" si="21"/>
        <v>14.44444444</v>
      </c>
      <c r="AA31" s="31">
        <f t="shared" si="21"/>
        <v>14.44444444</v>
      </c>
      <c r="AB31" s="31">
        <f t="shared" si="21"/>
        <v>14.44444444</v>
      </c>
    </row>
    <row r="32">
      <c r="B32" s="76" t="s">
        <v>279</v>
      </c>
      <c r="C32" s="45"/>
      <c r="D32" s="42"/>
      <c r="E32" s="42">
        <v>3000.0</v>
      </c>
      <c r="F32" s="42">
        <v>3000.0</v>
      </c>
      <c r="G32" s="42">
        <v>3000.0</v>
      </c>
      <c r="H32" s="42">
        <v>3000.0</v>
      </c>
      <c r="I32" s="42">
        <v>3000.0</v>
      </c>
      <c r="J32" s="42">
        <v>3000.0</v>
      </c>
      <c r="K32" s="42">
        <v>3000.0</v>
      </c>
      <c r="L32" s="42">
        <v>3000.0</v>
      </c>
      <c r="M32" s="42">
        <v>3000.0</v>
      </c>
      <c r="N32" s="42">
        <v>3000.0</v>
      </c>
    </row>
    <row r="33">
      <c r="B33" s="76" t="s">
        <v>127</v>
      </c>
      <c r="C33" s="45"/>
      <c r="D33" s="45"/>
      <c r="E33" s="45"/>
      <c r="F33" s="45"/>
      <c r="G33" s="45"/>
      <c r="H33" s="45"/>
      <c r="I33" s="45"/>
      <c r="J33" s="42">
        <v>3000.0</v>
      </c>
      <c r="K33" s="42">
        <v>3000.0</v>
      </c>
      <c r="L33" s="42">
        <v>3000.0</v>
      </c>
      <c r="M33" s="42">
        <v>3000.0</v>
      </c>
      <c r="N33" s="42">
        <v>3000.0</v>
      </c>
      <c r="P33" s="32" t="s">
        <v>361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"/>
    </row>
    <row r="34">
      <c r="B34" s="76" t="s">
        <v>362</v>
      </c>
      <c r="C34" s="45"/>
      <c r="D34" s="45"/>
      <c r="E34" s="45"/>
      <c r="F34" s="45"/>
      <c r="G34" s="45"/>
      <c r="H34" s="45"/>
      <c r="I34" s="45"/>
      <c r="J34" s="42"/>
      <c r="K34" s="42">
        <v>3000.0</v>
      </c>
      <c r="L34" s="42">
        <v>3000.0</v>
      </c>
      <c r="M34" s="42">
        <v>3000.0</v>
      </c>
      <c r="N34" s="42">
        <v>3000.0</v>
      </c>
      <c r="P34" s="16" t="s">
        <v>44</v>
      </c>
      <c r="Q34" s="6" t="s">
        <v>45</v>
      </c>
      <c r="R34" s="7"/>
      <c r="S34" s="8"/>
      <c r="T34" s="6" t="s">
        <v>46</v>
      </c>
      <c r="U34" s="7"/>
      <c r="V34" s="8"/>
      <c r="W34" s="6" t="s">
        <v>47</v>
      </c>
      <c r="X34" s="7"/>
      <c r="Y34" s="8"/>
      <c r="Z34" s="6" t="s">
        <v>48</v>
      </c>
      <c r="AA34" s="7"/>
      <c r="AB34" s="8"/>
    </row>
    <row r="35">
      <c r="B35" s="77" t="s">
        <v>363</v>
      </c>
      <c r="C35" s="78"/>
      <c r="D35" s="45"/>
      <c r="E35" s="45"/>
      <c r="F35" s="45"/>
      <c r="G35" s="45"/>
      <c r="H35" s="79"/>
      <c r="I35" s="79"/>
      <c r="J35" s="42"/>
      <c r="K35" s="79"/>
      <c r="L35" s="42">
        <v>3000.0</v>
      </c>
      <c r="M35" s="42">
        <v>3000.0</v>
      </c>
      <c r="N35" s="42">
        <v>3000.0</v>
      </c>
      <c r="P35" s="9" t="s">
        <v>364</v>
      </c>
      <c r="Q35" s="80">
        <v>250000.0</v>
      </c>
      <c r="R35" s="80">
        <v>250000.0</v>
      </c>
      <c r="S35" s="80">
        <v>250000.0</v>
      </c>
      <c r="T35" s="80">
        <v>300000.0</v>
      </c>
      <c r="U35" s="80">
        <v>300000.0</v>
      </c>
      <c r="V35" s="80">
        <v>300000.0</v>
      </c>
      <c r="W35" s="80">
        <v>350000.0</v>
      </c>
      <c r="X35" s="80">
        <v>350000.0</v>
      </c>
      <c r="Y35" s="80">
        <v>350000.0</v>
      </c>
      <c r="Z35" s="80">
        <v>400000.0</v>
      </c>
      <c r="AA35" s="80">
        <v>400000.0</v>
      </c>
      <c r="AB35" s="80">
        <v>400000.0</v>
      </c>
    </row>
    <row r="36">
      <c r="B36" s="77" t="s">
        <v>365</v>
      </c>
      <c r="C36" s="45"/>
      <c r="D36" s="45"/>
      <c r="E36" s="45"/>
      <c r="F36" s="45"/>
      <c r="G36" s="78"/>
      <c r="H36" s="45"/>
      <c r="I36" s="45"/>
      <c r="J36" s="45"/>
      <c r="K36" s="45"/>
      <c r="L36" s="45"/>
      <c r="M36" s="45"/>
      <c r="N36" s="42">
        <v>3000.0</v>
      </c>
      <c r="P36" s="16" t="s">
        <v>366</v>
      </c>
      <c r="Q36" s="19">
        <v>0.42</v>
      </c>
      <c r="R36" s="19">
        <v>0.42</v>
      </c>
      <c r="S36" s="19">
        <v>0.42</v>
      </c>
      <c r="T36" s="19">
        <v>0.42</v>
      </c>
      <c r="U36" s="19">
        <v>0.42</v>
      </c>
      <c r="V36" s="19">
        <v>0.42</v>
      </c>
      <c r="W36" s="19">
        <v>0.42</v>
      </c>
      <c r="X36" s="19">
        <v>0.42</v>
      </c>
      <c r="Y36" s="19">
        <v>0.42</v>
      </c>
      <c r="Z36" s="19">
        <v>0.42</v>
      </c>
      <c r="AA36" s="19">
        <v>0.42</v>
      </c>
      <c r="AB36" s="19">
        <v>0.42</v>
      </c>
    </row>
    <row r="37">
      <c r="B37" s="76" t="s">
        <v>367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P37" s="16" t="s">
        <v>368</v>
      </c>
      <c r="Q37" s="23">
        <f t="shared" ref="Q37:AB37" si="22">Q35*Q36</f>
        <v>105000</v>
      </c>
      <c r="R37" s="23">
        <f t="shared" si="22"/>
        <v>105000</v>
      </c>
      <c r="S37" s="23">
        <f t="shared" si="22"/>
        <v>105000</v>
      </c>
      <c r="T37" s="23">
        <f t="shared" si="22"/>
        <v>126000</v>
      </c>
      <c r="U37" s="23">
        <f t="shared" si="22"/>
        <v>126000</v>
      </c>
      <c r="V37" s="23">
        <f t="shared" si="22"/>
        <v>126000</v>
      </c>
      <c r="W37" s="23">
        <f t="shared" si="22"/>
        <v>147000</v>
      </c>
      <c r="X37" s="23">
        <f t="shared" si="22"/>
        <v>147000</v>
      </c>
      <c r="Y37" s="23">
        <f t="shared" si="22"/>
        <v>147000</v>
      </c>
      <c r="Z37" s="23">
        <f t="shared" si="22"/>
        <v>168000</v>
      </c>
      <c r="AA37" s="23">
        <f t="shared" si="22"/>
        <v>168000</v>
      </c>
      <c r="AB37" s="23">
        <f t="shared" si="22"/>
        <v>168000</v>
      </c>
    </row>
    <row r="38">
      <c r="B38" s="76" t="s">
        <v>369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P38" s="16" t="s">
        <v>370</v>
      </c>
      <c r="Q38" s="24">
        <v>15000.0</v>
      </c>
      <c r="R38" s="24">
        <v>15000.0</v>
      </c>
      <c r="S38" s="24">
        <v>15000.0</v>
      </c>
      <c r="T38" s="24">
        <v>15000.0</v>
      </c>
      <c r="U38" s="24">
        <v>15000.0</v>
      </c>
      <c r="V38" s="24">
        <v>15000.0</v>
      </c>
      <c r="W38" s="24">
        <v>15000.0</v>
      </c>
      <c r="X38" s="24">
        <v>15000.0</v>
      </c>
      <c r="Y38" s="24">
        <v>15000.0</v>
      </c>
      <c r="Z38" s="24">
        <v>15000.0</v>
      </c>
      <c r="AA38" s="24">
        <v>15000.0</v>
      </c>
      <c r="AB38" s="24">
        <v>15000.0</v>
      </c>
    </row>
    <row r="39">
      <c r="P39" s="16" t="s">
        <v>371</v>
      </c>
      <c r="Q39" s="31">
        <f t="shared" ref="Q39:AB39" si="23">Q37/Q38</f>
        <v>7</v>
      </c>
      <c r="R39" s="31">
        <f t="shared" si="23"/>
        <v>7</v>
      </c>
      <c r="S39" s="31">
        <f t="shared" si="23"/>
        <v>7</v>
      </c>
      <c r="T39" s="31">
        <f t="shared" si="23"/>
        <v>8.4</v>
      </c>
      <c r="U39" s="31">
        <f t="shared" si="23"/>
        <v>8.4</v>
      </c>
      <c r="V39" s="31">
        <f t="shared" si="23"/>
        <v>8.4</v>
      </c>
      <c r="W39" s="31">
        <f t="shared" si="23"/>
        <v>9.8</v>
      </c>
      <c r="X39" s="31">
        <f t="shared" si="23"/>
        <v>9.8</v>
      </c>
      <c r="Y39" s="31">
        <f t="shared" si="23"/>
        <v>9.8</v>
      </c>
      <c r="Z39" s="31">
        <f t="shared" si="23"/>
        <v>11.2</v>
      </c>
      <c r="AA39" s="31">
        <f t="shared" si="23"/>
        <v>11.2</v>
      </c>
      <c r="AB39" s="31">
        <f t="shared" si="23"/>
        <v>11.2</v>
      </c>
    </row>
    <row r="40">
      <c r="B40" s="40" t="s">
        <v>42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</row>
    <row r="41">
      <c r="B41" s="16" t="s">
        <v>44</v>
      </c>
      <c r="C41" s="6" t="s">
        <v>45</v>
      </c>
      <c r="D41" s="7"/>
      <c r="E41" s="8"/>
      <c r="F41" s="6" t="s">
        <v>46</v>
      </c>
      <c r="G41" s="7"/>
      <c r="H41" s="8"/>
      <c r="I41" s="6" t="s">
        <v>47</v>
      </c>
      <c r="J41" s="7"/>
      <c r="K41" s="8"/>
      <c r="L41" s="6" t="s">
        <v>48</v>
      </c>
      <c r="M41" s="7"/>
      <c r="N41" s="8"/>
      <c r="P41" s="16" t="s">
        <v>372</v>
      </c>
      <c r="Q41" s="19">
        <v>0.1</v>
      </c>
      <c r="R41" s="19">
        <v>0.1</v>
      </c>
      <c r="S41" s="19">
        <v>0.1</v>
      </c>
      <c r="T41" s="19">
        <v>0.1</v>
      </c>
      <c r="U41" s="19">
        <v>0.1</v>
      </c>
      <c r="V41" s="19">
        <v>0.1</v>
      </c>
      <c r="W41" s="19">
        <v>0.1</v>
      </c>
      <c r="X41" s="19">
        <v>0.1</v>
      </c>
      <c r="Y41" s="19">
        <v>0.1</v>
      </c>
      <c r="Z41" s="19">
        <v>0.1</v>
      </c>
      <c r="AA41" s="19">
        <v>0.1</v>
      </c>
      <c r="AB41" s="19">
        <v>0.1</v>
      </c>
    </row>
    <row r="42">
      <c r="B42" s="16" t="s">
        <v>49</v>
      </c>
      <c r="C42" s="10" t="s">
        <v>50</v>
      </c>
      <c r="D42" s="10" t="s">
        <v>51</v>
      </c>
      <c r="E42" s="10" t="s">
        <v>52</v>
      </c>
      <c r="F42" s="10" t="s">
        <v>53</v>
      </c>
      <c r="G42" s="10" t="s">
        <v>54</v>
      </c>
      <c r="H42" s="10" t="s">
        <v>55</v>
      </c>
      <c r="I42" s="10" t="s">
        <v>56</v>
      </c>
      <c r="J42" s="10" t="s">
        <v>57</v>
      </c>
      <c r="K42" s="10" t="s">
        <v>58</v>
      </c>
      <c r="L42" s="10" t="s">
        <v>59</v>
      </c>
      <c r="M42" s="10" t="s">
        <v>60</v>
      </c>
      <c r="N42" s="10" t="s">
        <v>61</v>
      </c>
      <c r="P42" s="16" t="s">
        <v>373</v>
      </c>
      <c r="Q42" s="23">
        <f t="shared" ref="Q42:AB42" si="24">Q35*Q41</f>
        <v>25000</v>
      </c>
      <c r="R42" s="23">
        <f t="shared" si="24"/>
        <v>25000</v>
      </c>
      <c r="S42" s="23">
        <f t="shared" si="24"/>
        <v>25000</v>
      </c>
      <c r="T42" s="23">
        <f t="shared" si="24"/>
        <v>30000</v>
      </c>
      <c r="U42" s="23">
        <f t="shared" si="24"/>
        <v>30000</v>
      </c>
      <c r="V42" s="23">
        <f t="shared" si="24"/>
        <v>30000</v>
      </c>
      <c r="W42" s="23">
        <f t="shared" si="24"/>
        <v>35000</v>
      </c>
      <c r="X42" s="23">
        <f t="shared" si="24"/>
        <v>35000</v>
      </c>
      <c r="Y42" s="23">
        <f t="shared" si="24"/>
        <v>35000</v>
      </c>
      <c r="Z42" s="23">
        <f t="shared" si="24"/>
        <v>40000</v>
      </c>
      <c r="AA42" s="23">
        <f t="shared" si="24"/>
        <v>40000</v>
      </c>
      <c r="AB42" s="23">
        <f t="shared" si="24"/>
        <v>40000</v>
      </c>
    </row>
    <row r="43">
      <c r="B43" s="16" t="s">
        <v>374</v>
      </c>
      <c r="C43" s="24">
        <f t="shared" ref="C43:N43" si="25">SUM(C44:C60)</f>
        <v>32200</v>
      </c>
      <c r="D43" s="24">
        <f t="shared" si="25"/>
        <v>35700</v>
      </c>
      <c r="E43" s="24">
        <f t="shared" si="25"/>
        <v>35700</v>
      </c>
      <c r="F43" s="24">
        <f t="shared" si="25"/>
        <v>39200</v>
      </c>
      <c r="G43" s="24">
        <f t="shared" si="25"/>
        <v>39200</v>
      </c>
      <c r="H43" s="24">
        <f t="shared" si="25"/>
        <v>39200</v>
      </c>
      <c r="I43" s="24">
        <f t="shared" si="25"/>
        <v>39200</v>
      </c>
      <c r="J43" s="24">
        <f t="shared" si="25"/>
        <v>39200</v>
      </c>
      <c r="K43" s="24">
        <f t="shared" si="25"/>
        <v>39200</v>
      </c>
      <c r="L43" s="24">
        <f t="shared" si="25"/>
        <v>39200</v>
      </c>
      <c r="M43" s="24">
        <f t="shared" si="25"/>
        <v>39200</v>
      </c>
      <c r="N43" s="24">
        <f t="shared" si="25"/>
        <v>39200</v>
      </c>
      <c r="P43" s="16" t="s">
        <v>375</v>
      </c>
      <c r="Q43" s="23">
        <v>12000.0</v>
      </c>
      <c r="R43" s="24">
        <v>12000.0</v>
      </c>
      <c r="S43" s="24">
        <v>12000.0</v>
      </c>
      <c r="T43" s="24">
        <v>12000.0</v>
      </c>
      <c r="U43" s="24">
        <v>12000.0</v>
      </c>
      <c r="V43" s="24">
        <v>12000.0</v>
      </c>
      <c r="W43" s="24">
        <v>12000.0</v>
      </c>
      <c r="X43" s="24">
        <v>12000.0</v>
      </c>
      <c r="Y43" s="24">
        <v>12000.0</v>
      </c>
      <c r="Z43" s="24">
        <v>12000.0</v>
      </c>
      <c r="AA43" s="24">
        <v>12000.0</v>
      </c>
      <c r="AB43" s="24">
        <v>12000.0</v>
      </c>
    </row>
    <row r="44">
      <c r="B44" s="41" t="s">
        <v>376</v>
      </c>
      <c r="C44" s="42">
        <v>3849.9999999999995</v>
      </c>
      <c r="D44" s="42">
        <v>3849.9999999999995</v>
      </c>
      <c r="E44" s="42">
        <v>3849.9999999999995</v>
      </c>
      <c r="F44" s="42">
        <v>3849.9999999999995</v>
      </c>
      <c r="G44" s="42">
        <v>3849.9999999999995</v>
      </c>
      <c r="H44" s="42">
        <v>3849.9999999999995</v>
      </c>
      <c r="I44" s="42">
        <v>3849.9999999999995</v>
      </c>
      <c r="J44" s="42">
        <v>3849.9999999999995</v>
      </c>
      <c r="K44" s="42">
        <v>3849.9999999999995</v>
      </c>
      <c r="L44" s="42">
        <v>3849.9999999999995</v>
      </c>
      <c r="M44" s="42">
        <v>3849.9999999999995</v>
      </c>
      <c r="N44" s="42">
        <v>3849.9999999999995</v>
      </c>
      <c r="P44" s="16" t="s">
        <v>377</v>
      </c>
      <c r="Q44" s="31">
        <f t="shared" ref="Q44:AB44" si="26">Q42/Q43</f>
        <v>2.083333333</v>
      </c>
      <c r="R44" s="31">
        <f t="shared" si="26"/>
        <v>2.083333333</v>
      </c>
      <c r="S44" s="31">
        <f t="shared" si="26"/>
        <v>2.083333333</v>
      </c>
      <c r="T44" s="31">
        <f t="shared" si="26"/>
        <v>2.5</v>
      </c>
      <c r="U44" s="31">
        <f t="shared" si="26"/>
        <v>2.5</v>
      </c>
      <c r="V44" s="31">
        <f t="shared" si="26"/>
        <v>2.5</v>
      </c>
      <c r="W44" s="31">
        <f t="shared" si="26"/>
        <v>2.916666667</v>
      </c>
      <c r="X44" s="31">
        <f t="shared" si="26"/>
        <v>2.916666667</v>
      </c>
      <c r="Y44" s="31">
        <f t="shared" si="26"/>
        <v>2.916666667</v>
      </c>
      <c r="Z44" s="31">
        <f t="shared" si="26"/>
        <v>3.333333333</v>
      </c>
      <c r="AA44" s="31">
        <f t="shared" si="26"/>
        <v>3.333333333</v>
      </c>
      <c r="AB44" s="31">
        <f t="shared" si="26"/>
        <v>3.333333333</v>
      </c>
    </row>
    <row r="45">
      <c r="B45" s="41" t="s">
        <v>378</v>
      </c>
      <c r="C45" s="42">
        <v>6475.0</v>
      </c>
      <c r="D45" s="42">
        <v>6475.0</v>
      </c>
      <c r="E45" s="42">
        <v>6475.0</v>
      </c>
      <c r="F45" s="42">
        <v>6475.0</v>
      </c>
      <c r="G45" s="42">
        <v>6475.0</v>
      </c>
      <c r="H45" s="42">
        <v>6475.0</v>
      </c>
      <c r="I45" s="42">
        <v>6475.0</v>
      </c>
      <c r="J45" s="42">
        <v>6475.0</v>
      </c>
      <c r="K45" s="42">
        <v>6475.0</v>
      </c>
      <c r="L45" s="42">
        <v>6475.0</v>
      </c>
      <c r="M45" s="42">
        <v>6475.0</v>
      </c>
      <c r="N45" s="42">
        <v>6475.0</v>
      </c>
    </row>
    <row r="46">
      <c r="B46" s="41" t="s">
        <v>379</v>
      </c>
      <c r="C46" s="42">
        <v>4725.0</v>
      </c>
      <c r="D46" s="42">
        <v>4725.0</v>
      </c>
      <c r="E46" s="42">
        <v>4725.0</v>
      </c>
      <c r="F46" s="42">
        <v>4725.0</v>
      </c>
      <c r="G46" s="42">
        <v>4725.0</v>
      </c>
      <c r="H46" s="42">
        <v>4725.0</v>
      </c>
      <c r="I46" s="42">
        <v>4725.0</v>
      </c>
      <c r="J46" s="42">
        <v>4725.0</v>
      </c>
      <c r="K46" s="42">
        <v>4725.0</v>
      </c>
      <c r="L46" s="42">
        <v>4725.0</v>
      </c>
      <c r="M46" s="42">
        <v>4725.0</v>
      </c>
      <c r="N46" s="42">
        <v>4725.0</v>
      </c>
      <c r="P46" s="16" t="s">
        <v>380</v>
      </c>
      <c r="Q46" s="19">
        <v>0.08</v>
      </c>
      <c r="R46" s="19">
        <v>0.08</v>
      </c>
      <c r="S46" s="19">
        <v>0.08</v>
      </c>
      <c r="T46" s="19">
        <v>0.08</v>
      </c>
      <c r="U46" s="19">
        <v>0.08</v>
      </c>
      <c r="V46" s="19">
        <v>0.08</v>
      </c>
      <c r="W46" s="19">
        <v>0.08</v>
      </c>
      <c r="X46" s="19">
        <v>0.08</v>
      </c>
      <c r="Y46" s="19">
        <v>0.08</v>
      </c>
      <c r="Z46" s="19">
        <v>0.08</v>
      </c>
      <c r="AA46" s="19">
        <v>0.08</v>
      </c>
      <c r="AB46" s="19">
        <v>0.08</v>
      </c>
    </row>
    <row r="47">
      <c r="B47" s="41" t="s">
        <v>381</v>
      </c>
      <c r="C47" s="42">
        <v>3849.9999999999995</v>
      </c>
      <c r="D47" s="42">
        <v>3849.9999999999995</v>
      </c>
      <c r="E47" s="42">
        <v>3849.9999999999995</v>
      </c>
      <c r="F47" s="42">
        <v>3849.9999999999995</v>
      </c>
      <c r="G47" s="42">
        <v>3849.9999999999995</v>
      </c>
      <c r="H47" s="42">
        <v>3849.9999999999995</v>
      </c>
      <c r="I47" s="42">
        <v>3849.9999999999995</v>
      </c>
      <c r="J47" s="42">
        <v>3849.9999999999995</v>
      </c>
      <c r="K47" s="42">
        <v>3849.9999999999995</v>
      </c>
      <c r="L47" s="42">
        <v>3849.9999999999995</v>
      </c>
      <c r="M47" s="42">
        <v>3849.9999999999995</v>
      </c>
      <c r="N47" s="42">
        <v>3849.9999999999995</v>
      </c>
      <c r="P47" s="16" t="s">
        <v>382</v>
      </c>
      <c r="Q47" s="23">
        <f t="shared" ref="Q47:AB47" si="27">Q35*Q46</f>
        <v>20000</v>
      </c>
      <c r="R47" s="23">
        <f t="shared" si="27"/>
        <v>20000</v>
      </c>
      <c r="S47" s="23">
        <f t="shared" si="27"/>
        <v>20000</v>
      </c>
      <c r="T47" s="23">
        <f t="shared" si="27"/>
        <v>24000</v>
      </c>
      <c r="U47" s="23">
        <f t="shared" si="27"/>
        <v>24000</v>
      </c>
      <c r="V47" s="23">
        <f t="shared" si="27"/>
        <v>24000</v>
      </c>
      <c r="W47" s="23">
        <f t="shared" si="27"/>
        <v>28000</v>
      </c>
      <c r="X47" s="23">
        <f t="shared" si="27"/>
        <v>28000</v>
      </c>
      <c r="Y47" s="23">
        <f t="shared" si="27"/>
        <v>28000</v>
      </c>
      <c r="Z47" s="23">
        <f t="shared" si="27"/>
        <v>32000</v>
      </c>
      <c r="AA47" s="23">
        <f t="shared" si="27"/>
        <v>32000</v>
      </c>
      <c r="AB47" s="23">
        <f t="shared" si="27"/>
        <v>32000</v>
      </c>
    </row>
    <row r="48">
      <c r="B48" s="41" t="s">
        <v>383</v>
      </c>
      <c r="C48" s="42">
        <v>3849.9999999999995</v>
      </c>
      <c r="D48" s="42">
        <v>3849.9999999999995</v>
      </c>
      <c r="E48" s="42">
        <v>3849.9999999999995</v>
      </c>
      <c r="F48" s="42">
        <v>3849.9999999999995</v>
      </c>
      <c r="G48" s="42">
        <v>3849.9999999999995</v>
      </c>
      <c r="H48" s="42">
        <v>3849.9999999999995</v>
      </c>
      <c r="I48" s="42">
        <v>3849.9999999999995</v>
      </c>
      <c r="J48" s="42">
        <v>3849.9999999999995</v>
      </c>
      <c r="K48" s="42">
        <v>3849.9999999999995</v>
      </c>
      <c r="L48" s="42">
        <v>3849.9999999999995</v>
      </c>
      <c r="M48" s="42">
        <v>3849.9999999999995</v>
      </c>
      <c r="N48" s="42">
        <v>3849.9999999999995</v>
      </c>
      <c r="P48" s="16" t="s">
        <v>384</v>
      </c>
      <c r="Q48" s="24">
        <v>3000.0</v>
      </c>
      <c r="R48" s="24">
        <v>3000.0</v>
      </c>
      <c r="S48" s="24">
        <v>3000.0</v>
      </c>
      <c r="T48" s="24">
        <v>3000.0</v>
      </c>
      <c r="U48" s="24">
        <v>3000.0</v>
      </c>
      <c r="V48" s="24">
        <v>3000.0</v>
      </c>
      <c r="W48" s="24">
        <v>3000.0</v>
      </c>
      <c r="X48" s="24">
        <v>3000.0</v>
      </c>
      <c r="Y48" s="24">
        <v>3000.0</v>
      </c>
      <c r="Z48" s="24">
        <v>3000.0</v>
      </c>
      <c r="AA48" s="24">
        <v>3000.0</v>
      </c>
      <c r="AB48" s="24">
        <v>3000.0</v>
      </c>
    </row>
    <row r="49">
      <c r="B49" s="41" t="s">
        <v>385</v>
      </c>
      <c r="C49" s="42">
        <v>5600.0</v>
      </c>
      <c r="D49" s="42">
        <v>5600.0</v>
      </c>
      <c r="E49" s="42">
        <v>5600.0</v>
      </c>
      <c r="F49" s="42">
        <v>5600.0</v>
      </c>
      <c r="G49" s="42">
        <v>5600.0</v>
      </c>
      <c r="H49" s="42">
        <v>5600.0</v>
      </c>
      <c r="I49" s="42">
        <v>5600.0</v>
      </c>
      <c r="J49" s="42">
        <v>5600.0</v>
      </c>
      <c r="K49" s="42">
        <v>5600.0</v>
      </c>
      <c r="L49" s="42">
        <v>5600.0</v>
      </c>
      <c r="M49" s="42">
        <v>5600.0</v>
      </c>
      <c r="N49" s="42">
        <v>5600.0</v>
      </c>
      <c r="P49" s="16" t="s">
        <v>386</v>
      </c>
      <c r="Q49" s="31">
        <f t="shared" ref="Q49:AB49" si="28">Q47/Q48</f>
        <v>6.666666667</v>
      </c>
      <c r="R49" s="31">
        <f t="shared" si="28"/>
        <v>6.666666667</v>
      </c>
      <c r="S49" s="31">
        <f t="shared" si="28"/>
        <v>6.666666667</v>
      </c>
      <c r="T49" s="31">
        <f t="shared" si="28"/>
        <v>8</v>
      </c>
      <c r="U49" s="31">
        <f t="shared" si="28"/>
        <v>8</v>
      </c>
      <c r="V49" s="31">
        <f t="shared" si="28"/>
        <v>8</v>
      </c>
      <c r="W49" s="31">
        <f t="shared" si="28"/>
        <v>9.333333333</v>
      </c>
      <c r="X49" s="31">
        <f t="shared" si="28"/>
        <v>9.333333333</v>
      </c>
      <c r="Y49" s="31">
        <f t="shared" si="28"/>
        <v>9.333333333</v>
      </c>
      <c r="Z49" s="31">
        <f t="shared" si="28"/>
        <v>10.66666667</v>
      </c>
      <c r="AA49" s="31">
        <f t="shared" si="28"/>
        <v>10.66666667</v>
      </c>
      <c r="AB49" s="31">
        <f t="shared" si="28"/>
        <v>10.66666667</v>
      </c>
    </row>
    <row r="50">
      <c r="B50" s="41" t="s">
        <v>387</v>
      </c>
      <c r="C50" s="42">
        <v>3849.9999999999995</v>
      </c>
      <c r="D50" s="42">
        <v>3849.9999999999995</v>
      </c>
      <c r="E50" s="42">
        <v>3849.9999999999995</v>
      </c>
      <c r="F50" s="42">
        <v>3849.9999999999995</v>
      </c>
      <c r="G50" s="42">
        <v>3849.9999999999995</v>
      </c>
      <c r="H50" s="42">
        <v>3849.9999999999995</v>
      </c>
      <c r="I50" s="42">
        <v>3849.9999999999995</v>
      </c>
      <c r="J50" s="42">
        <v>3849.9999999999995</v>
      </c>
      <c r="K50" s="42">
        <v>3849.9999999999995</v>
      </c>
      <c r="L50" s="42">
        <v>3849.9999999999995</v>
      </c>
      <c r="M50" s="42">
        <v>3849.9999999999995</v>
      </c>
      <c r="N50" s="42">
        <v>3849.9999999999995</v>
      </c>
    </row>
    <row r="51">
      <c r="B51" s="41" t="s">
        <v>276</v>
      </c>
      <c r="C51" s="45"/>
      <c r="D51" s="50">
        <v>3500.0</v>
      </c>
      <c r="E51" s="50">
        <v>3500.0</v>
      </c>
      <c r="F51" s="50">
        <v>3500.0</v>
      </c>
      <c r="G51" s="50">
        <v>3500.0</v>
      </c>
      <c r="H51" s="50">
        <v>3500.0</v>
      </c>
      <c r="I51" s="50">
        <v>3500.0</v>
      </c>
      <c r="J51" s="50">
        <v>3500.0</v>
      </c>
      <c r="K51" s="50">
        <v>3500.0</v>
      </c>
      <c r="L51" s="50">
        <v>3500.0</v>
      </c>
      <c r="M51" s="50">
        <v>3500.0</v>
      </c>
      <c r="N51" s="50">
        <v>3500.0</v>
      </c>
      <c r="P51" s="16" t="s">
        <v>341</v>
      </c>
      <c r="Q51" s="19">
        <v>0.2</v>
      </c>
      <c r="R51" s="19">
        <v>0.2</v>
      </c>
      <c r="S51" s="19">
        <v>0.2</v>
      </c>
      <c r="T51" s="19">
        <v>0.2</v>
      </c>
      <c r="U51" s="19">
        <v>0.2</v>
      </c>
      <c r="V51" s="19">
        <v>0.2</v>
      </c>
      <c r="W51" s="19">
        <v>0.2</v>
      </c>
      <c r="X51" s="19">
        <v>0.2</v>
      </c>
      <c r="Y51" s="19">
        <v>0.2</v>
      </c>
      <c r="Z51" s="19">
        <v>0.2</v>
      </c>
      <c r="AA51" s="19">
        <v>0.2</v>
      </c>
      <c r="AB51" s="19">
        <v>0.2</v>
      </c>
    </row>
    <row r="52">
      <c r="B52" s="41" t="s">
        <v>277</v>
      </c>
      <c r="C52" s="45"/>
      <c r="D52" s="45"/>
      <c r="E52" s="45"/>
      <c r="F52" s="50">
        <v>3500.0</v>
      </c>
      <c r="G52" s="50">
        <v>3500.0</v>
      </c>
      <c r="H52" s="50">
        <v>3500.0</v>
      </c>
      <c r="I52" s="50">
        <v>3500.0</v>
      </c>
      <c r="J52" s="50">
        <v>3500.0</v>
      </c>
      <c r="K52" s="50">
        <v>3500.0</v>
      </c>
      <c r="L52" s="50">
        <v>3500.0</v>
      </c>
      <c r="M52" s="50">
        <v>3500.0</v>
      </c>
      <c r="N52" s="50">
        <v>3500.0</v>
      </c>
      <c r="P52" s="16" t="s">
        <v>388</v>
      </c>
      <c r="Q52" s="23">
        <f t="shared" ref="Q52:AB52" si="29">Q35*Q51</f>
        <v>50000</v>
      </c>
      <c r="R52" s="23">
        <f t="shared" si="29"/>
        <v>50000</v>
      </c>
      <c r="S52" s="23">
        <f t="shared" si="29"/>
        <v>50000</v>
      </c>
      <c r="T52" s="23">
        <f t="shared" si="29"/>
        <v>60000</v>
      </c>
      <c r="U52" s="23">
        <f t="shared" si="29"/>
        <v>60000</v>
      </c>
      <c r="V52" s="23">
        <f t="shared" si="29"/>
        <v>60000</v>
      </c>
      <c r="W52" s="23">
        <f t="shared" si="29"/>
        <v>70000</v>
      </c>
      <c r="X52" s="23">
        <f t="shared" si="29"/>
        <v>70000</v>
      </c>
      <c r="Y52" s="23">
        <f t="shared" si="29"/>
        <v>70000</v>
      </c>
      <c r="Z52" s="23">
        <f t="shared" si="29"/>
        <v>80000</v>
      </c>
      <c r="AA52" s="23">
        <f t="shared" si="29"/>
        <v>80000</v>
      </c>
      <c r="AB52" s="23">
        <f t="shared" si="29"/>
        <v>80000</v>
      </c>
    </row>
    <row r="53">
      <c r="B53" s="41" t="s">
        <v>278</v>
      </c>
      <c r="C53" s="45"/>
      <c r="D53" s="45"/>
      <c r="E53" s="45"/>
      <c r="F53" s="81"/>
      <c r="G53" s="81"/>
      <c r="H53" s="81"/>
      <c r="I53" s="81"/>
      <c r="J53" s="81"/>
      <c r="K53" s="81"/>
      <c r="L53" s="81"/>
      <c r="M53" s="81"/>
      <c r="N53" s="81"/>
      <c r="P53" s="16" t="s">
        <v>344</v>
      </c>
      <c r="Q53" s="24">
        <v>7000.0</v>
      </c>
      <c r="R53" s="24">
        <v>7000.0</v>
      </c>
      <c r="S53" s="24">
        <v>7000.0</v>
      </c>
      <c r="T53" s="24">
        <v>7000.0</v>
      </c>
      <c r="U53" s="24">
        <v>7000.0</v>
      </c>
      <c r="V53" s="24">
        <v>7000.0</v>
      </c>
      <c r="W53" s="24">
        <v>7000.0</v>
      </c>
      <c r="X53" s="24">
        <v>7000.0</v>
      </c>
      <c r="Y53" s="24">
        <v>7000.0</v>
      </c>
      <c r="Z53" s="24">
        <v>7000.0</v>
      </c>
      <c r="AA53" s="24">
        <v>7000.0</v>
      </c>
      <c r="AB53" s="24">
        <v>7000.0</v>
      </c>
    </row>
    <row r="54">
      <c r="B54" s="41" t="s">
        <v>279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P54" s="16" t="s">
        <v>209</v>
      </c>
      <c r="Q54" s="31">
        <f t="shared" ref="Q54:AB54" si="30">Q52/Q53</f>
        <v>7.142857143</v>
      </c>
      <c r="R54" s="31">
        <f t="shared" si="30"/>
        <v>7.142857143</v>
      </c>
      <c r="S54" s="31">
        <f t="shared" si="30"/>
        <v>7.142857143</v>
      </c>
      <c r="T54" s="31">
        <f t="shared" si="30"/>
        <v>8.571428571</v>
      </c>
      <c r="U54" s="31">
        <f t="shared" si="30"/>
        <v>8.571428571</v>
      </c>
      <c r="V54" s="31">
        <f t="shared" si="30"/>
        <v>8.571428571</v>
      </c>
      <c r="W54" s="31">
        <f t="shared" si="30"/>
        <v>10</v>
      </c>
      <c r="X54" s="31">
        <f t="shared" si="30"/>
        <v>10</v>
      </c>
      <c r="Y54" s="31">
        <f t="shared" si="30"/>
        <v>10</v>
      </c>
      <c r="Z54" s="31">
        <f t="shared" si="30"/>
        <v>11.42857143</v>
      </c>
      <c r="AA54" s="31">
        <f t="shared" si="30"/>
        <v>11.42857143</v>
      </c>
      <c r="AB54" s="31">
        <f t="shared" si="30"/>
        <v>11.42857143</v>
      </c>
    </row>
    <row r="55">
      <c r="B55" s="41" t="s">
        <v>127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>
      <c r="B56" s="41" t="s">
        <v>362</v>
      </c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P56" s="16" t="s">
        <v>389</v>
      </c>
      <c r="Q56" s="19">
        <v>0.05</v>
      </c>
      <c r="R56" s="19">
        <v>0.05</v>
      </c>
      <c r="S56" s="19">
        <v>0.05</v>
      </c>
      <c r="T56" s="19">
        <v>0.05</v>
      </c>
      <c r="U56" s="19">
        <v>0.05</v>
      </c>
      <c r="V56" s="19">
        <v>0.05</v>
      </c>
      <c r="W56" s="19">
        <v>0.05</v>
      </c>
      <c r="X56" s="19">
        <v>0.05</v>
      </c>
      <c r="Y56" s="19">
        <v>0.05</v>
      </c>
      <c r="Z56" s="19">
        <v>0.05</v>
      </c>
      <c r="AA56" s="19">
        <v>0.05</v>
      </c>
      <c r="AB56" s="19">
        <v>0.05</v>
      </c>
    </row>
    <row r="57">
      <c r="B57" s="41" t="s">
        <v>390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P57" s="16" t="s">
        <v>391</v>
      </c>
      <c r="Q57" s="23">
        <f t="shared" ref="Q57:AB57" si="31">Q35*Q56</f>
        <v>12500</v>
      </c>
      <c r="R57" s="23">
        <f t="shared" si="31"/>
        <v>12500</v>
      </c>
      <c r="S57" s="23">
        <f t="shared" si="31"/>
        <v>12500</v>
      </c>
      <c r="T57" s="23">
        <f t="shared" si="31"/>
        <v>15000</v>
      </c>
      <c r="U57" s="23">
        <f t="shared" si="31"/>
        <v>15000</v>
      </c>
      <c r="V57" s="23">
        <f t="shared" si="31"/>
        <v>15000</v>
      </c>
      <c r="W57" s="23">
        <f t="shared" si="31"/>
        <v>17500</v>
      </c>
      <c r="X57" s="23">
        <f t="shared" si="31"/>
        <v>17500</v>
      </c>
      <c r="Y57" s="23">
        <f t="shared" si="31"/>
        <v>17500</v>
      </c>
      <c r="Z57" s="23">
        <f t="shared" si="31"/>
        <v>20000</v>
      </c>
      <c r="AA57" s="23">
        <f t="shared" si="31"/>
        <v>20000</v>
      </c>
      <c r="AB57" s="23">
        <f t="shared" si="31"/>
        <v>20000</v>
      </c>
    </row>
    <row r="58">
      <c r="B58" s="41" t="s">
        <v>392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P58" s="16" t="s">
        <v>393</v>
      </c>
      <c r="Q58" s="23">
        <v>5000.0</v>
      </c>
      <c r="R58" s="24">
        <v>5000.0</v>
      </c>
      <c r="S58" s="24">
        <v>5000.0</v>
      </c>
      <c r="T58" s="24">
        <v>5000.0</v>
      </c>
      <c r="U58" s="24">
        <v>5000.0</v>
      </c>
      <c r="V58" s="24">
        <v>5000.0</v>
      </c>
      <c r="W58" s="24">
        <v>5000.0</v>
      </c>
      <c r="X58" s="24">
        <v>5000.0</v>
      </c>
      <c r="Y58" s="24">
        <v>5000.0</v>
      </c>
      <c r="Z58" s="24">
        <v>5000.0</v>
      </c>
      <c r="AA58" s="24">
        <v>5000.0</v>
      </c>
      <c r="AB58" s="24">
        <v>5000.0</v>
      </c>
    </row>
    <row r="59">
      <c r="B59" s="41" t="s">
        <v>367</v>
      </c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P59" s="16" t="s">
        <v>394</v>
      </c>
      <c r="Q59" s="31">
        <f t="shared" ref="Q59:AB59" si="32">Q57/Q58</f>
        <v>2.5</v>
      </c>
      <c r="R59" s="31">
        <f t="shared" si="32"/>
        <v>2.5</v>
      </c>
      <c r="S59" s="31">
        <f t="shared" si="32"/>
        <v>2.5</v>
      </c>
      <c r="T59" s="31">
        <f t="shared" si="32"/>
        <v>3</v>
      </c>
      <c r="U59" s="31">
        <f t="shared" si="32"/>
        <v>3</v>
      </c>
      <c r="V59" s="31">
        <f t="shared" si="32"/>
        <v>3</v>
      </c>
      <c r="W59" s="31">
        <f t="shared" si="32"/>
        <v>3.5</v>
      </c>
      <c r="X59" s="31">
        <f t="shared" si="32"/>
        <v>3.5</v>
      </c>
      <c r="Y59" s="31">
        <f t="shared" si="32"/>
        <v>3.5</v>
      </c>
      <c r="Z59" s="31">
        <f t="shared" si="32"/>
        <v>4</v>
      </c>
      <c r="AA59" s="31">
        <f t="shared" si="32"/>
        <v>4</v>
      </c>
      <c r="AB59" s="31">
        <f t="shared" si="32"/>
        <v>4</v>
      </c>
    </row>
    <row r="60">
      <c r="B60" s="41" t="s">
        <v>369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1">
      <c r="P61" s="16" t="s">
        <v>359</v>
      </c>
      <c r="Q61" s="19">
        <v>0.15</v>
      </c>
      <c r="R61" s="19">
        <v>0.15</v>
      </c>
      <c r="S61" s="19">
        <v>0.15</v>
      </c>
      <c r="T61" s="19">
        <v>0.15</v>
      </c>
      <c r="U61" s="19">
        <v>0.15</v>
      </c>
      <c r="V61" s="19">
        <v>0.15</v>
      </c>
      <c r="W61" s="19">
        <v>0.15</v>
      </c>
      <c r="X61" s="19">
        <v>0.15</v>
      </c>
      <c r="Y61" s="19">
        <v>0.15</v>
      </c>
      <c r="Z61" s="19">
        <v>0.15</v>
      </c>
      <c r="AA61" s="19">
        <v>0.15</v>
      </c>
      <c r="AB61" s="19">
        <v>0.15</v>
      </c>
    </row>
    <row r="62">
      <c r="B62" s="40" t="s">
        <v>395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8"/>
      <c r="P62" s="16" t="s">
        <v>396</v>
      </c>
      <c r="Q62" s="23">
        <f t="shared" ref="Q62:AB62" si="33">Q35*Q61</f>
        <v>37500</v>
      </c>
      <c r="R62" s="23">
        <f t="shared" si="33"/>
        <v>37500</v>
      </c>
      <c r="S62" s="23">
        <f t="shared" si="33"/>
        <v>37500</v>
      </c>
      <c r="T62" s="23">
        <f t="shared" si="33"/>
        <v>45000</v>
      </c>
      <c r="U62" s="23">
        <f t="shared" si="33"/>
        <v>45000</v>
      </c>
      <c r="V62" s="23">
        <f t="shared" si="33"/>
        <v>45000</v>
      </c>
      <c r="W62" s="23">
        <f t="shared" si="33"/>
        <v>52500</v>
      </c>
      <c r="X62" s="23">
        <f t="shared" si="33"/>
        <v>52500</v>
      </c>
      <c r="Y62" s="23">
        <f t="shared" si="33"/>
        <v>52500</v>
      </c>
      <c r="Z62" s="23">
        <f t="shared" si="33"/>
        <v>60000</v>
      </c>
      <c r="AA62" s="23">
        <f t="shared" si="33"/>
        <v>60000</v>
      </c>
      <c r="AB62" s="23">
        <f t="shared" si="33"/>
        <v>60000</v>
      </c>
    </row>
    <row r="63">
      <c r="B63" s="16" t="s">
        <v>44</v>
      </c>
      <c r="C63" s="6" t="s">
        <v>45</v>
      </c>
      <c r="D63" s="7"/>
      <c r="E63" s="8"/>
      <c r="F63" s="6" t="s">
        <v>46</v>
      </c>
      <c r="G63" s="7"/>
      <c r="H63" s="8"/>
      <c r="I63" s="6" t="s">
        <v>47</v>
      </c>
      <c r="J63" s="7"/>
      <c r="K63" s="8"/>
      <c r="L63" s="6" t="s">
        <v>48</v>
      </c>
      <c r="M63" s="7"/>
      <c r="N63" s="8"/>
      <c r="P63" s="16" t="s">
        <v>360</v>
      </c>
      <c r="Q63" s="23">
        <v>3000.0</v>
      </c>
      <c r="R63" s="24">
        <v>3000.0</v>
      </c>
      <c r="S63" s="24">
        <v>3000.0</v>
      </c>
      <c r="T63" s="24">
        <v>3000.0</v>
      </c>
      <c r="U63" s="24">
        <v>3000.0</v>
      </c>
      <c r="V63" s="24">
        <v>3000.0</v>
      </c>
      <c r="W63" s="24">
        <v>3000.0</v>
      </c>
      <c r="X63" s="24">
        <v>3000.0</v>
      </c>
      <c r="Y63" s="24">
        <v>3000.0</v>
      </c>
      <c r="Z63" s="24">
        <v>3000.0</v>
      </c>
      <c r="AA63" s="24">
        <v>3000.0</v>
      </c>
      <c r="AB63" s="24">
        <v>3000.0</v>
      </c>
    </row>
    <row r="64">
      <c r="B64" s="16" t="s">
        <v>49</v>
      </c>
      <c r="C64" s="10" t="s">
        <v>50</v>
      </c>
      <c r="D64" s="10" t="s">
        <v>51</v>
      </c>
      <c r="E64" s="10" t="s">
        <v>52</v>
      </c>
      <c r="F64" s="10" t="s">
        <v>53</v>
      </c>
      <c r="G64" s="10" t="s">
        <v>54</v>
      </c>
      <c r="H64" s="10" t="s">
        <v>55</v>
      </c>
      <c r="I64" s="10" t="s">
        <v>56</v>
      </c>
      <c r="J64" s="10" t="s">
        <v>57</v>
      </c>
      <c r="K64" s="10" t="s">
        <v>58</v>
      </c>
      <c r="L64" s="10" t="s">
        <v>59</v>
      </c>
      <c r="M64" s="10" t="s">
        <v>60</v>
      </c>
      <c r="N64" s="10" t="s">
        <v>61</v>
      </c>
      <c r="P64" s="16" t="s">
        <v>255</v>
      </c>
      <c r="Q64" s="31">
        <f t="shared" ref="Q64:AB64" si="34">Q62/Q63</f>
        <v>12.5</v>
      </c>
      <c r="R64" s="31">
        <f t="shared" si="34"/>
        <v>12.5</v>
      </c>
      <c r="S64" s="31">
        <f t="shared" si="34"/>
        <v>12.5</v>
      </c>
      <c r="T64" s="31">
        <f t="shared" si="34"/>
        <v>15</v>
      </c>
      <c r="U64" s="31">
        <f t="shared" si="34"/>
        <v>15</v>
      </c>
      <c r="V64" s="31">
        <f t="shared" si="34"/>
        <v>15</v>
      </c>
      <c r="W64" s="31">
        <f t="shared" si="34"/>
        <v>17.5</v>
      </c>
      <c r="X64" s="31">
        <f t="shared" si="34"/>
        <v>17.5</v>
      </c>
      <c r="Y64" s="31">
        <f t="shared" si="34"/>
        <v>17.5</v>
      </c>
      <c r="Z64" s="31">
        <f t="shared" si="34"/>
        <v>20</v>
      </c>
      <c r="AA64" s="31">
        <f t="shared" si="34"/>
        <v>20</v>
      </c>
      <c r="AB64" s="31">
        <f t="shared" si="34"/>
        <v>20</v>
      </c>
    </row>
    <row r="65">
      <c r="B65" s="16" t="s">
        <v>397</v>
      </c>
      <c r="C65" s="24">
        <f t="shared" ref="C65:N65" si="35">SUM(C66:C71)</f>
        <v>18000</v>
      </c>
      <c r="D65" s="24">
        <f t="shared" si="35"/>
        <v>18000</v>
      </c>
      <c r="E65" s="24">
        <f t="shared" si="35"/>
        <v>18000</v>
      </c>
      <c r="F65" s="24">
        <f t="shared" si="35"/>
        <v>21000</v>
      </c>
      <c r="G65" s="24">
        <f t="shared" si="35"/>
        <v>21000</v>
      </c>
      <c r="H65" s="24">
        <f t="shared" si="35"/>
        <v>21000</v>
      </c>
      <c r="I65" s="24">
        <f t="shared" si="35"/>
        <v>22000</v>
      </c>
      <c r="J65" s="24">
        <f t="shared" si="35"/>
        <v>22000</v>
      </c>
      <c r="K65" s="24">
        <f t="shared" si="35"/>
        <v>22000</v>
      </c>
      <c r="L65" s="24">
        <f t="shared" si="35"/>
        <v>22000</v>
      </c>
      <c r="M65" s="24">
        <f t="shared" si="35"/>
        <v>22000</v>
      </c>
      <c r="N65" s="24">
        <f t="shared" si="35"/>
        <v>22000</v>
      </c>
    </row>
    <row r="66">
      <c r="B66" s="16" t="s">
        <v>398</v>
      </c>
      <c r="C66" s="24">
        <v>10000.0</v>
      </c>
      <c r="D66" s="24">
        <v>10000.0</v>
      </c>
      <c r="E66" s="24">
        <v>10000.0</v>
      </c>
      <c r="F66" s="24">
        <v>12000.0</v>
      </c>
      <c r="G66" s="24">
        <v>12000.0</v>
      </c>
      <c r="H66" s="24">
        <v>12000.0</v>
      </c>
      <c r="I66" s="24">
        <v>12000.0</v>
      </c>
      <c r="J66" s="24">
        <v>12000.0</v>
      </c>
      <c r="K66" s="24">
        <v>12000.0</v>
      </c>
      <c r="L66" s="24">
        <v>12000.0</v>
      </c>
      <c r="M66" s="24">
        <v>12000.0</v>
      </c>
      <c r="N66" s="24">
        <v>12000.0</v>
      </c>
      <c r="P66" s="16" t="s">
        <v>399</v>
      </c>
      <c r="Q66" s="24">
        <f t="shared" ref="Q66:AB66" si="36">(Q36*Q38)+(Q41*Q43)+(Q48*Q46)+(Q51*Q53)+(Q56*Q58)+(Q61*Q63)</f>
        <v>9840</v>
      </c>
      <c r="R66" s="24">
        <f t="shared" si="36"/>
        <v>9840</v>
      </c>
      <c r="S66" s="24">
        <f t="shared" si="36"/>
        <v>9840</v>
      </c>
      <c r="T66" s="24">
        <f t="shared" si="36"/>
        <v>9840</v>
      </c>
      <c r="U66" s="24">
        <f t="shared" si="36"/>
        <v>9840</v>
      </c>
      <c r="V66" s="24">
        <f t="shared" si="36"/>
        <v>9840</v>
      </c>
      <c r="W66" s="24">
        <f t="shared" si="36"/>
        <v>9840</v>
      </c>
      <c r="X66" s="24">
        <f t="shared" si="36"/>
        <v>9840</v>
      </c>
      <c r="Y66" s="24">
        <f t="shared" si="36"/>
        <v>9840</v>
      </c>
      <c r="Z66" s="24">
        <f t="shared" si="36"/>
        <v>9840</v>
      </c>
      <c r="AA66" s="24">
        <f t="shared" si="36"/>
        <v>9840</v>
      </c>
      <c r="AB66" s="24">
        <f t="shared" si="36"/>
        <v>9840</v>
      </c>
    </row>
    <row r="67">
      <c r="B67" s="16" t="s">
        <v>400</v>
      </c>
      <c r="C67" s="24">
        <v>8000.0</v>
      </c>
      <c r="D67" s="24">
        <v>8000.0</v>
      </c>
      <c r="E67" s="24">
        <v>8000.0</v>
      </c>
      <c r="F67" s="24">
        <v>9000.0</v>
      </c>
      <c r="G67" s="24">
        <v>9000.0</v>
      </c>
      <c r="H67" s="24">
        <v>9000.0</v>
      </c>
      <c r="I67" s="24">
        <v>10000.0</v>
      </c>
      <c r="J67" s="24">
        <v>10000.0</v>
      </c>
      <c r="K67" s="24">
        <v>10000.0</v>
      </c>
      <c r="L67" s="24">
        <v>10000.0</v>
      </c>
      <c r="M67" s="24">
        <v>10000.0</v>
      </c>
      <c r="N67" s="24">
        <v>10000.0</v>
      </c>
      <c r="P67" s="16" t="s">
        <v>401</v>
      </c>
      <c r="Q67" s="24">
        <f t="shared" ref="Q67:AB67" si="37">(Q9*Q7)+(Q12*Q14)+(Q18*Q20)+(Q28*Q30)+(Q23*Q25)</f>
        <v>4290</v>
      </c>
      <c r="R67" s="24">
        <f t="shared" si="37"/>
        <v>4290</v>
      </c>
      <c r="S67" s="24">
        <f t="shared" si="37"/>
        <v>4290</v>
      </c>
      <c r="T67" s="24">
        <f t="shared" si="37"/>
        <v>4290</v>
      </c>
      <c r="U67" s="24">
        <f t="shared" si="37"/>
        <v>4290</v>
      </c>
      <c r="V67" s="24">
        <f t="shared" si="37"/>
        <v>4290</v>
      </c>
      <c r="W67" s="24">
        <f t="shared" si="37"/>
        <v>4290</v>
      </c>
      <c r="X67" s="24">
        <f t="shared" si="37"/>
        <v>4290</v>
      </c>
      <c r="Y67" s="24">
        <f t="shared" si="37"/>
        <v>4290</v>
      </c>
      <c r="Z67" s="24">
        <f t="shared" si="37"/>
        <v>4290</v>
      </c>
      <c r="AA67" s="24">
        <f t="shared" si="37"/>
        <v>4290</v>
      </c>
      <c r="AB67" s="24">
        <f t="shared" si="37"/>
        <v>4290</v>
      </c>
    </row>
    <row r="68">
      <c r="B68" s="16" t="s">
        <v>402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P68" s="16" t="s">
        <v>403</v>
      </c>
      <c r="Q68" s="82">
        <v>0.275</v>
      </c>
      <c r="R68" s="82">
        <v>0.275</v>
      </c>
      <c r="S68" s="82">
        <v>0.275</v>
      </c>
      <c r="T68" s="82">
        <v>0.275</v>
      </c>
      <c r="U68" s="82">
        <v>0.275</v>
      </c>
      <c r="V68" s="82">
        <v>0.275</v>
      </c>
      <c r="W68" s="82">
        <v>0.275</v>
      </c>
      <c r="X68" s="82">
        <v>0.275</v>
      </c>
      <c r="Y68" s="82">
        <v>0.275</v>
      </c>
      <c r="Z68" s="82">
        <v>0.275</v>
      </c>
      <c r="AA68" s="82">
        <v>0.275</v>
      </c>
      <c r="AB68" s="82">
        <v>0.275</v>
      </c>
    </row>
    <row r="69">
      <c r="B69" s="16" t="s">
        <v>276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P69" s="16" t="s">
        <v>404</v>
      </c>
      <c r="Q69" s="31">
        <f t="shared" ref="Q69:AB69" si="38">((((Q6/Q67))/Q68)+(((Q35/Q66))/Q68))*0.7</f>
        <v>183.3403108</v>
      </c>
      <c r="R69" s="31">
        <f t="shared" si="38"/>
        <v>183.3403108</v>
      </c>
      <c r="S69" s="31">
        <f t="shared" si="38"/>
        <v>183.3403108</v>
      </c>
      <c r="T69" s="31">
        <f t="shared" si="38"/>
        <v>208.141452</v>
      </c>
      <c r="U69" s="31">
        <f t="shared" si="38"/>
        <v>208.141452</v>
      </c>
      <c r="V69" s="31">
        <f t="shared" si="38"/>
        <v>208.141452</v>
      </c>
      <c r="W69" s="31">
        <f t="shared" si="38"/>
        <v>232.9425933</v>
      </c>
      <c r="X69" s="31">
        <f t="shared" si="38"/>
        <v>232.9425933</v>
      </c>
      <c r="Y69" s="31">
        <f t="shared" si="38"/>
        <v>232.9425933</v>
      </c>
      <c r="Z69" s="31">
        <f t="shared" si="38"/>
        <v>257.7437345</v>
      </c>
      <c r="AA69" s="31">
        <f t="shared" si="38"/>
        <v>257.7437345</v>
      </c>
      <c r="AB69" s="31">
        <f t="shared" si="38"/>
        <v>257.7437345</v>
      </c>
    </row>
    <row r="70">
      <c r="B70" s="16" t="s">
        <v>277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P70" s="16" t="s">
        <v>405</v>
      </c>
      <c r="Q70" s="31">
        <f t="shared" ref="Q70:AB70" si="39">Q69/count(C22:C38)</f>
        <v>20.37114565</v>
      </c>
      <c r="R70" s="31">
        <f t="shared" si="39"/>
        <v>20.37114565</v>
      </c>
      <c r="S70" s="31">
        <f t="shared" si="39"/>
        <v>16.66730098</v>
      </c>
      <c r="T70" s="31">
        <f t="shared" si="39"/>
        <v>18.92195019</v>
      </c>
      <c r="U70" s="31">
        <f t="shared" si="39"/>
        <v>18.92195019</v>
      </c>
      <c r="V70" s="31">
        <f t="shared" si="39"/>
        <v>18.92195019</v>
      </c>
      <c r="W70" s="31">
        <f t="shared" si="39"/>
        <v>21.17659939</v>
      </c>
      <c r="X70" s="31">
        <f t="shared" si="39"/>
        <v>19.41188277</v>
      </c>
      <c r="Y70" s="31">
        <f t="shared" si="39"/>
        <v>17.91866102</v>
      </c>
      <c r="Z70" s="31">
        <f t="shared" si="39"/>
        <v>18.41026675</v>
      </c>
      <c r="AA70" s="31">
        <f t="shared" si="39"/>
        <v>18.41026675</v>
      </c>
      <c r="AB70" s="31">
        <f t="shared" si="39"/>
        <v>17.18291563</v>
      </c>
    </row>
    <row r="71">
      <c r="B71" s="16" t="s">
        <v>278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P71" s="16" t="s">
        <v>406</v>
      </c>
      <c r="Q71" s="31">
        <f t="shared" ref="Q71:AB71" si="40">Q69/count(C44:C60)</f>
        <v>26.19147298</v>
      </c>
      <c r="R71" s="31">
        <f t="shared" si="40"/>
        <v>22.91753885</v>
      </c>
      <c r="S71" s="31">
        <f t="shared" si="40"/>
        <v>22.91753885</v>
      </c>
      <c r="T71" s="31">
        <f t="shared" si="40"/>
        <v>23.126828</v>
      </c>
      <c r="U71" s="31">
        <f t="shared" si="40"/>
        <v>23.126828</v>
      </c>
      <c r="V71" s="31">
        <f t="shared" si="40"/>
        <v>23.126828</v>
      </c>
      <c r="W71" s="31">
        <f t="shared" si="40"/>
        <v>25.88251036</v>
      </c>
      <c r="X71" s="31">
        <f t="shared" si="40"/>
        <v>25.88251036</v>
      </c>
      <c r="Y71" s="31">
        <f t="shared" si="40"/>
        <v>25.88251036</v>
      </c>
      <c r="Z71" s="31">
        <f t="shared" si="40"/>
        <v>28.63819272</v>
      </c>
      <c r="AA71" s="31">
        <f t="shared" si="40"/>
        <v>28.63819272</v>
      </c>
      <c r="AB71" s="31">
        <f t="shared" si="40"/>
        <v>28.63819272</v>
      </c>
    </row>
    <row r="72">
      <c r="B72" s="1"/>
      <c r="P72" s="16" t="s">
        <v>407</v>
      </c>
      <c r="Q72" s="23">
        <f t="shared" ref="Q72:AB72" si="41">Q6/count(C44:C60)</f>
        <v>28571.42857</v>
      </c>
      <c r="R72" s="23">
        <f t="shared" si="41"/>
        <v>25000</v>
      </c>
      <c r="S72" s="23">
        <f t="shared" si="41"/>
        <v>25000</v>
      </c>
      <c r="T72" s="23">
        <f t="shared" si="41"/>
        <v>24444.44444</v>
      </c>
      <c r="U72" s="23">
        <f t="shared" si="41"/>
        <v>24444.44444</v>
      </c>
      <c r="V72" s="23">
        <f t="shared" si="41"/>
        <v>24444.44444</v>
      </c>
      <c r="W72" s="23">
        <f t="shared" si="41"/>
        <v>26666.66667</v>
      </c>
      <c r="X72" s="23">
        <f t="shared" si="41"/>
        <v>26666.66667</v>
      </c>
      <c r="Y72" s="23">
        <f t="shared" si="41"/>
        <v>26666.66667</v>
      </c>
      <c r="Z72" s="23">
        <f t="shared" si="41"/>
        <v>28888.88889</v>
      </c>
      <c r="AA72" s="23">
        <f t="shared" si="41"/>
        <v>28888.88889</v>
      </c>
      <c r="AB72" s="23">
        <f t="shared" si="41"/>
        <v>28888.88889</v>
      </c>
    </row>
    <row r="73">
      <c r="B73" s="40" t="s">
        <v>408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8"/>
    </row>
    <row r="74">
      <c r="B74" s="16" t="s">
        <v>44</v>
      </c>
      <c r="C74" s="6" t="s">
        <v>45</v>
      </c>
      <c r="D74" s="7"/>
      <c r="E74" s="8"/>
      <c r="F74" s="6" t="s">
        <v>46</v>
      </c>
      <c r="G74" s="7"/>
      <c r="H74" s="8"/>
      <c r="I74" s="6" t="s">
        <v>47</v>
      </c>
      <c r="J74" s="7"/>
      <c r="K74" s="8"/>
      <c r="L74" s="6" t="s">
        <v>48</v>
      </c>
      <c r="M74" s="7"/>
      <c r="N74" s="8"/>
    </row>
    <row r="75">
      <c r="B75" s="16" t="s">
        <v>49</v>
      </c>
      <c r="C75" s="10" t="s">
        <v>50</v>
      </c>
      <c r="D75" s="10" t="s">
        <v>51</v>
      </c>
      <c r="E75" s="10" t="s">
        <v>52</v>
      </c>
      <c r="F75" s="10" t="s">
        <v>53</v>
      </c>
      <c r="G75" s="10" t="s">
        <v>54</v>
      </c>
      <c r="H75" s="10" t="s">
        <v>55</v>
      </c>
      <c r="I75" s="10" t="s">
        <v>56</v>
      </c>
      <c r="J75" s="10" t="s">
        <v>57</v>
      </c>
      <c r="K75" s="10" t="s">
        <v>58</v>
      </c>
      <c r="L75" s="10" t="s">
        <v>59</v>
      </c>
      <c r="M75" s="10" t="s">
        <v>60</v>
      </c>
      <c r="N75" s="10" t="s">
        <v>61</v>
      </c>
    </row>
    <row r="76">
      <c r="B76" s="16" t="s">
        <v>409</v>
      </c>
      <c r="C76" s="24">
        <f t="shared" ref="C76:N76" si="42">SUM(C77:C86)</f>
        <v>26500</v>
      </c>
      <c r="D76" s="24">
        <f t="shared" si="42"/>
        <v>26500</v>
      </c>
      <c r="E76" s="24">
        <f t="shared" si="42"/>
        <v>26500</v>
      </c>
      <c r="F76" s="24">
        <f t="shared" si="42"/>
        <v>28500</v>
      </c>
      <c r="G76" s="24">
        <f t="shared" si="42"/>
        <v>28500</v>
      </c>
      <c r="H76" s="24">
        <f t="shared" si="42"/>
        <v>28500</v>
      </c>
      <c r="I76" s="24">
        <f t="shared" si="42"/>
        <v>32000</v>
      </c>
      <c r="J76" s="24">
        <f t="shared" si="42"/>
        <v>32000</v>
      </c>
      <c r="K76" s="24">
        <f t="shared" si="42"/>
        <v>32000</v>
      </c>
      <c r="L76" s="24">
        <f t="shared" si="42"/>
        <v>34000</v>
      </c>
      <c r="M76" s="24">
        <f t="shared" si="42"/>
        <v>34000</v>
      </c>
      <c r="N76" s="24">
        <f t="shared" si="42"/>
        <v>34000</v>
      </c>
    </row>
    <row r="77">
      <c r="B77" s="41" t="s">
        <v>410</v>
      </c>
      <c r="C77" s="50">
        <v>4000.0</v>
      </c>
      <c r="D77" s="50">
        <v>4000.0</v>
      </c>
      <c r="E77" s="50">
        <v>4000.0</v>
      </c>
      <c r="F77" s="50">
        <v>4500.0</v>
      </c>
      <c r="G77" s="50">
        <v>4500.0</v>
      </c>
      <c r="H77" s="50">
        <v>4500.0</v>
      </c>
      <c r="I77" s="50">
        <v>5000.0</v>
      </c>
      <c r="J77" s="50">
        <v>5000.0</v>
      </c>
      <c r="K77" s="50">
        <v>5000.0</v>
      </c>
      <c r="L77" s="50">
        <v>5500.0</v>
      </c>
      <c r="M77" s="50">
        <v>5500.0</v>
      </c>
      <c r="N77" s="50">
        <v>5500.0</v>
      </c>
    </row>
    <row r="78">
      <c r="B78" s="41" t="s">
        <v>411</v>
      </c>
      <c r="C78" s="50">
        <v>4000.0</v>
      </c>
      <c r="D78" s="50">
        <v>4000.0</v>
      </c>
      <c r="E78" s="50">
        <v>4000.0</v>
      </c>
      <c r="F78" s="50">
        <v>4500.0</v>
      </c>
      <c r="G78" s="50">
        <v>4500.0</v>
      </c>
      <c r="H78" s="50">
        <v>4500.0</v>
      </c>
      <c r="I78" s="50">
        <v>5000.0</v>
      </c>
      <c r="J78" s="50">
        <v>5000.0</v>
      </c>
      <c r="K78" s="50">
        <v>5000.0</v>
      </c>
      <c r="L78" s="50">
        <v>5500.0</v>
      </c>
      <c r="M78" s="50">
        <v>5500.0</v>
      </c>
      <c r="N78" s="50">
        <v>5500.0</v>
      </c>
    </row>
    <row r="79">
      <c r="B79" s="41" t="s">
        <v>412</v>
      </c>
      <c r="C79" s="50">
        <v>3500.0</v>
      </c>
      <c r="D79" s="50">
        <v>3500.0</v>
      </c>
      <c r="E79" s="50">
        <v>3500.0</v>
      </c>
      <c r="F79" s="50">
        <v>4000.0</v>
      </c>
      <c r="G79" s="50">
        <v>4000.0</v>
      </c>
      <c r="H79" s="50">
        <v>4000.0</v>
      </c>
      <c r="I79" s="50">
        <v>4500.0</v>
      </c>
      <c r="J79" s="50">
        <v>4500.0</v>
      </c>
      <c r="K79" s="50">
        <v>4500.0</v>
      </c>
      <c r="L79" s="50">
        <v>5000.0</v>
      </c>
      <c r="M79" s="50">
        <v>5000.0</v>
      </c>
      <c r="N79" s="50">
        <v>5000.0</v>
      </c>
    </row>
    <row r="80">
      <c r="B80" s="41" t="s">
        <v>413</v>
      </c>
      <c r="C80" s="50">
        <v>3500.0</v>
      </c>
      <c r="D80" s="50">
        <v>3500.0</v>
      </c>
      <c r="E80" s="50">
        <v>3500.0</v>
      </c>
      <c r="F80" s="50">
        <v>4000.0</v>
      </c>
      <c r="G80" s="50">
        <v>4000.0</v>
      </c>
      <c r="H80" s="50">
        <v>4000.0</v>
      </c>
      <c r="I80" s="50">
        <v>4000.0</v>
      </c>
      <c r="J80" s="50">
        <v>4000.0</v>
      </c>
      <c r="K80" s="50">
        <v>4000.0</v>
      </c>
      <c r="L80" s="50">
        <v>4500.0</v>
      </c>
      <c r="M80" s="50">
        <v>4500.0</v>
      </c>
      <c r="N80" s="50">
        <v>4500.0</v>
      </c>
    </row>
    <row r="81">
      <c r="B81" s="52" t="s">
        <v>414</v>
      </c>
      <c r="C81" s="50">
        <v>1000.0</v>
      </c>
      <c r="D81" s="50">
        <v>1000.0</v>
      </c>
      <c r="E81" s="50">
        <v>1000.0</v>
      </c>
      <c r="F81" s="50">
        <v>1000.0</v>
      </c>
      <c r="G81" s="50">
        <v>1000.0</v>
      </c>
      <c r="H81" s="50">
        <v>1000.0</v>
      </c>
      <c r="I81" s="50">
        <v>2000.0</v>
      </c>
      <c r="J81" s="50">
        <v>2000.0</v>
      </c>
      <c r="K81" s="50">
        <v>2000.0</v>
      </c>
      <c r="L81" s="50">
        <v>2000.0</v>
      </c>
      <c r="M81" s="50">
        <v>2000.0</v>
      </c>
      <c r="N81" s="50">
        <v>2000.0</v>
      </c>
    </row>
    <row r="82">
      <c r="B82" s="52" t="s">
        <v>415</v>
      </c>
      <c r="C82" s="50">
        <v>3000.0</v>
      </c>
      <c r="D82" s="50">
        <v>3000.0</v>
      </c>
      <c r="E82" s="50">
        <v>3000.0</v>
      </c>
      <c r="F82" s="50">
        <v>3000.0</v>
      </c>
      <c r="G82" s="50">
        <v>3000.0</v>
      </c>
      <c r="H82" s="50">
        <v>3000.0</v>
      </c>
      <c r="I82" s="50">
        <v>4000.0</v>
      </c>
      <c r="J82" s="50">
        <v>4000.0</v>
      </c>
      <c r="K82" s="50">
        <v>4000.0</v>
      </c>
      <c r="L82" s="50">
        <v>4000.0</v>
      </c>
      <c r="M82" s="50">
        <v>4000.0</v>
      </c>
      <c r="N82" s="50">
        <v>4000.0</v>
      </c>
    </row>
    <row r="83">
      <c r="B83" s="52" t="s">
        <v>416</v>
      </c>
      <c r="C83" s="50">
        <v>3500.0</v>
      </c>
      <c r="D83" s="50">
        <v>3500.0</v>
      </c>
      <c r="E83" s="50">
        <v>3500.0</v>
      </c>
      <c r="F83" s="50">
        <v>3500.0</v>
      </c>
      <c r="G83" s="50">
        <v>3500.0</v>
      </c>
      <c r="H83" s="50">
        <v>3500.0</v>
      </c>
      <c r="I83" s="50">
        <v>3500.0</v>
      </c>
      <c r="J83" s="50">
        <v>3500.0</v>
      </c>
      <c r="K83" s="50">
        <v>3500.0</v>
      </c>
      <c r="L83" s="50">
        <v>3500.0</v>
      </c>
      <c r="M83" s="50">
        <v>3500.0</v>
      </c>
      <c r="N83" s="50">
        <v>3500.0</v>
      </c>
    </row>
    <row r="84">
      <c r="B84" s="52" t="s">
        <v>417</v>
      </c>
      <c r="C84" s="50">
        <v>4000.0</v>
      </c>
      <c r="D84" s="50">
        <v>4000.0</v>
      </c>
      <c r="E84" s="50">
        <v>4000.0</v>
      </c>
      <c r="F84" s="50">
        <v>4000.0</v>
      </c>
      <c r="G84" s="50">
        <v>4000.0</v>
      </c>
      <c r="H84" s="50">
        <v>4000.0</v>
      </c>
      <c r="I84" s="50">
        <v>4000.0</v>
      </c>
      <c r="J84" s="50">
        <v>4000.0</v>
      </c>
      <c r="K84" s="50">
        <v>4000.0</v>
      </c>
      <c r="L84" s="50">
        <v>4000.0</v>
      </c>
      <c r="M84" s="50">
        <v>4000.0</v>
      </c>
      <c r="N84" s="50">
        <v>4000.0</v>
      </c>
    </row>
    <row r="85">
      <c r="B85" s="41" t="s">
        <v>279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</row>
    <row r="86">
      <c r="B86" s="41" t="s">
        <v>127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</row>
  </sheetData>
  <mergeCells count="35">
    <mergeCell ref="B2:N2"/>
    <mergeCell ref="P2:AB2"/>
    <mergeCell ref="C3:E3"/>
    <mergeCell ref="F3:H3"/>
    <mergeCell ref="I3:K3"/>
    <mergeCell ref="L3:N3"/>
    <mergeCell ref="Q3:S3"/>
    <mergeCell ref="Z3:AB3"/>
    <mergeCell ref="T3:V3"/>
    <mergeCell ref="W3:Y3"/>
    <mergeCell ref="B18:N18"/>
    <mergeCell ref="C19:E19"/>
    <mergeCell ref="F19:H19"/>
    <mergeCell ref="I19:K19"/>
    <mergeCell ref="L19:N19"/>
    <mergeCell ref="P33:AB33"/>
    <mergeCell ref="Q34:S34"/>
    <mergeCell ref="T34:V34"/>
    <mergeCell ref="W34:Y34"/>
    <mergeCell ref="Z34:AB34"/>
    <mergeCell ref="B40:N40"/>
    <mergeCell ref="C41:E41"/>
    <mergeCell ref="L41:N41"/>
    <mergeCell ref="B73:N73"/>
    <mergeCell ref="C74:E74"/>
    <mergeCell ref="F74:H74"/>
    <mergeCell ref="I74:K74"/>
    <mergeCell ref="L74:N74"/>
    <mergeCell ref="F41:H41"/>
    <mergeCell ref="I41:K41"/>
    <mergeCell ref="B62:N62"/>
    <mergeCell ref="C63:E63"/>
    <mergeCell ref="F63:H63"/>
    <mergeCell ref="I63:K63"/>
    <mergeCell ref="L63:N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6.25"/>
    <col customWidth="1" min="16" max="16" width="5.63"/>
  </cols>
  <sheetData>
    <row r="2">
      <c r="B2" s="32" t="s">
        <v>418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>
      <c r="B3" s="9" t="s">
        <v>44</v>
      </c>
      <c r="C3" s="17" t="s">
        <v>419</v>
      </c>
      <c r="D3" s="40" t="s">
        <v>45</v>
      </c>
      <c r="E3" s="7"/>
      <c r="F3" s="8"/>
      <c r="G3" s="40" t="s">
        <v>46</v>
      </c>
      <c r="H3" s="7"/>
      <c r="I3" s="8"/>
      <c r="J3" s="40" t="s">
        <v>47</v>
      </c>
      <c r="K3" s="7"/>
      <c r="L3" s="8"/>
      <c r="M3" s="40" t="s">
        <v>48</v>
      </c>
      <c r="N3" s="7"/>
      <c r="O3" s="8"/>
    </row>
    <row r="4">
      <c r="B4" s="9" t="s">
        <v>49</v>
      </c>
      <c r="C4" s="17" t="s">
        <v>61</v>
      </c>
      <c r="D4" s="17" t="s">
        <v>50</v>
      </c>
      <c r="E4" s="17" t="s">
        <v>51</v>
      </c>
      <c r="F4" s="17" t="s">
        <v>52</v>
      </c>
      <c r="G4" s="17" t="s">
        <v>53</v>
      </c>
      <c r="H4" s="17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7" t="s">
        <v>61</v>
      </c>
    </row>
    <row r="5">
      <c r="B5" s="9" t="s">
        <v>420</v>
      </c>
      <c r="C5" s="20">
        <f t="shared" ref="C5:O5" si="1">C7+C12+C17+C27+C22</f>
        <v>1050000</v>
      </c>
      <c r="D5" s="20">
        <f t="shared" si="1"/>
        <v>1155500</v>
      </c>
      <c r="E5" s="20">
        <f t="shared" si="1"/>
        <v>1251505</v>
      </c>
      <c r="F5" s="20">
        <f t="shared" si="1"/>
        <v>1338869.55</v>
      </c>
      <c r="G5" s="20">
        <f t="shared" si="1"/>
        <v>1438371.291</v>
      </c>
      <c r="H5" s="20">
        <f t="shared" si="1"/>
        <v>1528917.874</v>
      </c>
      <c r="I5" s="20">
        <f t="shared" si="1"/>
        <v>1611315.266</v>
      </c>
      <c r="J5" s="20">
        <f t="shared" si="1"/>
        <v>1706296.892</v>
      </c>
      <c r="K5" s="20">
        <f t="shared" si="1"/>
        <v>1792730.171</v>
      </c>
      <c r="L5" s="20">
        <f t="shared" si="1"/>
        <v>1871384.456</v>
      </c>
      <c r="M5" s="20">
        <f t="shared" si="1"/>
        <v>1962959.855</v>
      </c>
      <c r="N5" s="20">
        <f t="shared" si="1"/>
        <v>2046293.468</v>
      </c>
      <c r="O5" s="20">
        <f t="shared" si="1"/>
        <v>2122127.056</v>
      </c>
    </row>
    <row r="7">
      <c r="B7" s="16" t="s">
        <v>159</v>
      </c>
      <c r="C7" s="24">
        <v>475000.0</v>
      </c>
      <c r="D7" s="23">
        <f>((1-C10)*C7)+CAC!Q8</f>
        <v>492250</v>
      </c>
      <c r="E7" s="23">
        <f>((1-D10)*D7)+CAC!R8</f>
        <v>507947.5</v>
      </c>
      <c r="F7" s="23">
        <f>((1-E10)*E7)+CAC!S8</f>
        <v>522232.225</v>
      </c>
      <c r="G7" s="23">
        <f>((1-F10)*F7)+CAC!T8</f>
        <v>541231.3248</v>
      </c>
      <c r="H7" s="23">
        <f>((1-G10)*G7)+CAC!U8</f>
        <v>558520.5055</v>
      </c>
      <c r="I7" s="23">
        <f>((1-H10)*H7)+CAC!V8</f>
        <v>574253.66</v>
      </c>
      <c r="J7" s="23">
        <f>((1-I10)*I7)+CAC!W8</f>
        <v>594570.8306</v>
      </c>
      <c r="K7" s="23">
        <f>((1-J10)*J7)+CAC!X8</f>
        <v>613059.4559</v>
      </c>
      <c r="L7" s="23">
        <f>((1-K10)*K7)+CAC!Y8</f>
        <v>629884.1048</v>
      </c>
      <c r="M7" s="23">
        <f>((1-L10)*L7)+CAC!Z8</f>
        <v>651194.5354</v>
      </c>
      <c r="N7" s="23">
        <f>((1-M10)*M7)+CAC!AA8</f>
        <v>670587.0272</v>
      </c>
      <c r="O7" s="23">
        <f>((1-N10)*N7)+CAC!AB8</f>
        <v>688234.1948</v>
      </c>
    </row>
    <row r="8">
      <c r="B8" s="16" t="s">
        <v>337</v>
      </c>
      <c r="C8" s="23">
        <f>C7/C9</f>
        <v>2794.117647</v>
      </c>
      <c r="D8" s="23">
        <f>((C8*C9)+(CAC!Q9*CAC!Q10))/(CAC!Q10+C9)</f>
        <v>2815.789474</v>
      </c>
      <c r="E8" s="23">
        <f>((D8*D9)+(CAC!R9*CAC!R10))/(CAC!R10+D9)</f>
        <v>2834.700535</v>
      </c>
      <c r="F8" s="23">
        <f>((E8*E9)+(CAC!S9*CAC!S10))/(CAC!S10+E9)</f>
        <v>2851.297773</v>
      </c>
      <c r="G8" s="23">
        <f>((F8*F9)+(CAC!T9*CAC!T10))/(CAC!T10+F9)</f>
        <v>2867.243928</v>
      </c>
      <c r="H8" s="23">
        <f>((G8*G9)+(CAC!U9*CAC!U10))/(CAC!U10+G9)</f>
        <v>2881.101318</v>
      </c>
      <c r="I8" s="23">
        <f>((H8*H9)+(CAC!V9*CAC!V10))/(CAC!V10+H9)</f>
        <v>2893.219414</v>
      </c>
      <c r="J8" s="23">
        <f>((I8*I9)+(CAC!W9*CAC!W10))/(CAC!W10+I9)</f>
        <v>2904.738222</v>
      </c>
      <c r="K8" s="23">
        <f>((J8*J9)+(CAC!X9*CAC!X10))/(CAC!X10+J9)</f>
        <v>2914.735523</v>
      </c>
      <c r="L8" s="23">
        <f>((K8*K9)+(CAC!Y9*CAC!Y10))/(CAC!Y10+K9)</f>
        <v>2923.468242</v>
      </c>
      <c r="M8" s="23">
        <f>((L8*L9)+(CAC!Z9*CAC!Z10))/(CAC!Z10+L9)</f>
        <v>2931.709125</v>
      </c>
      <c r="N8" s="23">
        <f>((M8*M9)+(CAC!AA9*CAC!AA10))/(CAC!AA10+M9)</f>
        <v>2938.865157</v>
      </c>
      <c r="O8" s="23">
        <f>((N8*N9)+(CAC!AB9*CAC!AB10))/(CAC!AB10+N9)</f>
        <v>2945.11865</v>
      </c>
    </row>
    <row r="9">
      <c r="B9" s="16" t="s">
        <v>160</v>
      </c>
      <c r="C9" s="29">
        <v>170.0</v>
      </c>
      <c r="D9" s="29">
        <f t="shared" ref="D9:O9" si="2">D7/D8</f>
        <v>174.817757</v>
      </c>
      <c r="E9" s="29">
        <f t="shared" si="2"/>
        <v>179.189122</v>
      </c>
      <c r="F9" s="29">
        <f t="shared" si="2"/>
        <v>183.1559755</v>
      </c>
      <c r="G9" s="29">
        <f t="shared" si="2"/>
        <v>188.7636135</v>
      </c>
      <c r="H9" s="29">
        <f t="shared" si="2"/>
        <v>193.8565999</v>
      </c>
      <c r="I9" s="29">
        <f t="shared" si="2"/>
        <v>198.4825821</v>
      </c>
      <c r="J9" s="29">
        <f t="shared" si="2"/>
        <v>204.6899876</v>
      </c>
      <c r="K9" s="29">
        <f t="shared" si="2"/>
        <v>210.331075</v>
      </c>
      <c r="L9" s="29">
        <f t="shared" si="2"/>
        <v>215.4578236</v>
      </c>
      <c r="M9" s="29">
        <f t="shared" si="2"/>
        <v>222.1211272</v>
      </c>
      <c r="N9" s="29">
        <f t="shared" si="2"/>
        <v>228.1789029</v>
      </c>
      <c r="O9" s="29">
        <f t="shared" si="2"/>
        <v>233.6864068</v>
      </c>
      <c r="Q9" s="17" t="s">
        <v>421</v>
      </c>
    </row>
    <row r="10">
      <c r="B10" s="16" t="s">
        <v>422</v>
      </c>
      <c r="C10" s="19">
        <f t="shared" ref="C10:O10" si="3">$Q$10</f>
        <v>0.09</v>
      </c>
      <c r="D10" s="19">
        <f t="shared" si="3"/>
        <v>0.09</v>
      </c>
      <c r="E10" s="19">
        <f t="shared" si="3"/>
        <v>0.09</v>
      </c>
      <c r="F10" s="19">
        <f t="shared" si="3"/>
        <v>0.09</v>
      </c>
      <c r="G10" s="19">
        <f t="shared" si="3"/>
        <v>0.09</v>
      </c>
      <c r="H10" s="19">
        <f t="shared" si="3"/>
        <v>0.09</v>
      </c>
      <c r="I10" s="19">
        <f t="shared" si="3"/>
        <v>0.09</v>
      </c>
      <c r="J10" s="19">
        <f t="shared" si="3"/>
        <v>0.09</v>
      </c>
      <c r="K10" s="19">
        <f t="shared" si="3"/>
        <v>0.09</v>
      </c>
      <c r="L10" s="19">
        <f t="shared" si="3"/>
        <v>0.09</v>
      </c>
      <c r="M10" s="19">
        <f t="shared" si="3"/>
        <v>0.09</v>
      </c>
      <c r="N10" s="19">
        <f t="shared" si="3"/>
        <v>0.09</v>
      </c>
      <c r="O10" s="19">
        <f t="shared" si="3"/>
        <v>0.09</v>
      </c>
      <c r="Q10" s="83">
        <v>0.09</v>
      </c>
    </row>
    <row r="11">
      <c r="B11" s="1"/>
      <c r="C11" s="8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Q11" s="85"/>
    </row>
    <row r="12">
      <c r="B12" s="16" t="s">
        <v>208</v>
      </c>
      <c r="C12" s="24">
        <v>200000.0</v>
      </c>
      <c r="D12" s="23">
        <f>((1-C15)*C12)+CAC!Q13</f>
        <v>232000</v>
      </c>
      <c r="E12" s="23">
        <f>((1-D15)*D12)+CAC!R13</f>
        <v>261120</v>
      </c>
      <c r="F12" s="23">
        <f>((1-E15)*E12)+CAC!S13</f>
        <v>287619.2</v>
      </c>
      <c r="G12" s="23">
        <f>((1-F15)*F12)+CAC!T13</f>
        <v>316733.472</v>
      </c>
      <c r="H12" s="23">
        <f>((1-G15)*G12)+CAC!U13</f>
        <v>343227.4595</v>
      </c>
      <c r="I12" s="23">
        <f>((1-H15)*H12)+CAC!V13</f>
        <v>367336.9882</v>
      </c>
      <c r="J12" s="23">
        <f>((1-I15)*I12)+CAC!W13</f>
        <v>394276.6592</v>
      </c>
      <c r="K12" s="23">
        <f>((1-J15)*J12)+CAC!X13</f>
        <v>418791.7599</v>
      </c>
      <c r="L12" s="23">
        <f>((1-K15)*K12)+CAC!Y13</f>
        <v>441100.5015</v>
      </c>
      <c r="M12" s="23">
        <f>((1-L15)*L12)+CAC!Z13</f>
        <v>466401.4564</v>
      </c>
      <c r="N12" s="23">
        <f>((1-M15)*M12)+CAC!AA13</f>
        <v>489425.3253</v>
      </c>
      <c r="O12" s="23">
        <f>((1-N15)*N12)+CAC!AB13</f>
        <v>510377.046</v>
      </c>
      <c r="Q12" s="85"/>
    </row>
    <row r="13">
      <c r="B13" s="16" t="s">
        <v>344</v>
      </c>
      <c r="C13" s="37">
        <f>C12/C14</f>
        <v>4255.319149</v>
      </c>
      <c r="D13" s="37">
        <f>((C13*C14)+(CAC!Q14*CAC!Q15))/(CAC!Q15+C14)</f>
        <v>4385.964912</v>
      </c>
      <c r="E13" s="37">
        <f>((D13*D14)+(CAC!R14*CAC!R15))/(CAC!R15+D14)</f>
        <v>4483.591961</v>
      </c>
      <c r="F13" s="37">
        <f>((E13*E14)+(CAC!S14*CAC!S15))/(CAC!S15+E14)</f>
        <v>4559.268318</v>
      </c>
      <c r="G13" s="37">
        <f>((F13*F14)+(CAC!T14*CAC!T15))/(CAC!T15+F14)</f>
        <v>4624.707755</v>
      </c>
      <c r="H13" s="37">
        <f>((G13*G14)+(CAC!U14*CAC!U15))/(CAC!U15+G14)</f>
        <v>4676.643319</v>
      </c>
      <c r="I13" s="37">
        <f>((H13*H14)+(CAC!V14*CAC!V15))/(CAC!V15+H14)</f>
        <v>4718.791037</v>
      </c>
      <c r="J13" s="37">
        <f>((I13*I14)+(CAC!W14*CAC!W15))/(CAC!W15+I14)</f>
        <v>4756.350012</v>
      </c>
      <c r="K13" s="37">
        <f>((J13*J14)+(CAC!X14*CAC!X15))/(CAC!X15+J14)</f>
        <v>4787.160973</v>
      </c>
      <c r="L13" s="37">
        <f>((K13*K14)+(CAC!Y14*CAC!Y15))/(CAC!Y15+K14)</f>
        <v>4812.834574</v>
      </c>
      <c r="M13" s="37">
        <f>((L13*L14)+(CAC!Z14*CAC!Z15))/(CAC!Z15+L14)</f>
        <v>4836.084743</v>
      </c>
      <c r="N13" s="37">
        <f>((M13*M14)+(CAC!AA14*CAC!AA15))/(CAC!AA15+M14)</f>
        <v>4855.555323</v>
      </c>
      <c r="O13" s="37">
        <f>((N13*N14)+(CAC!AB14*CAC!AB15))/(CAC!AB15+N14)</f>
        <v>4872.056471</v>
      </c>
      <c r="Q13" s="85"/>
    </row>
    <row r="14">
      <c r="B14" s="16" t="s">
        <v>209</v>
      </c>
      <c r="C14" s="29">
        <v>47.0</v>
      </c>
      <c r="D14" s="29">
        <f t="shared" ref="D14:O14" si="4">D12/D13</f>
        <v>52.896</v>
      </c>
      <c r="E14" s="29">
        <f t="shared" si="4"/>
        <v>58.23901957</v>
      </c>
      <c r="F14" s="29">
        <f t="shared" si="4"/>
        <v>63.08450829</v>
      </c>
      <c r="G14" s="29">
        <f t="shared" si="4"/>
        <v>68.48724045</v>
      </c>
      <c r="H14" s="29">
        <f t="shared" si="4"/>
        <v>73.39184028</v>
      </c>
      <c r="I14" s="29">
        <f t="shared" si="4"/>
        <v>77.84557215</v>
      </c>
      <c r="J14" s="29">
        <f t="shared" si="4"/>
        <v>82.89479501</v>
      </c>
      <c r="K14" s="29">
        <f t="shared" si="4"/>
        <v>87.48228068</v>
      </c>
      <c r="L14" s="29">
        <f t="shared" si="4"/>
        <v>91.65087533</v>
      </c>
      <c r="M14" s="29">
        <f t="shared" si="4"/>
        <v>96.44195278</v>
      </c>
      <c r="N14" s="29">
        <f t="shared" si="4"/>
        <v>100.7969826</v>
      </c>
      <c r="O14" s="29">
        <f t="shared" si="4"/>
        <v>104.7559791</v>
      </c>
      <c r="Q14" s="17" t="s">
        <v>421</v>
      </c>
    </row>
    <row r="15">
      <c r="B15" s="16" t="s">
        <v>423</v>
      </c>
      <c r="C15" s="19">
        <f t="shared" ref="C15:O15" si="5">$Q$15</f>
        <v>0.09</v>
      </c>
      <c r="D15" s="19">
        <f t="shared" si="5"/>
        <v>0.09</v>
      </c>
      <c r="E15" s="19">
        <f t="shared" si="5"/>
        <v>0.09</v>
      </c>
      <c r="F15" s="19">
        <f t="shared" si="5"/>
        <v>0.09</v>
      </c>
      <c r="G15" s="19">
        <f t="shared" si="5"/>
        <v>0.09</v>
      </c>
      <c r="H15" s="19">
        <f t="shared" si="5"/>
        <v>0.09</v>
      </c>
      <c r="I15" s="19">
        <f t="shared" si="5"/>
        <v>0.09</v>
      </c>
      <c r="J15" s="19">
        <f t="shared" si="5"/>
        <v>0.09</v>
      </c>
      <c r="K15" s="19">
        <f t="shared" si="5"/>
        <v>0.09</v>
      </c>
      <c r="L15" s="19">
        <f t="shared" si="5"/>
        <v>0.09</v>
      </c>
      <c r="M15" s="19">
        <f t="shared" si="5"/>
        <v>0.09</v>
      </c>
      <c r="N15" s="19">
        <f t="shared" si="5"/>
        <v>0.09</v>
      </c>
      <c r="O15" s="19">
        <f t="shared" si="5"/>
        <v>0.09</v>
      </c>
      <c r="Q15" s="83">
        <v>0.09</v>
      </c>
    </row>
    <row r="16">
      <c r="Q16" s="85"/>
    </row>
    <row r="17">
      <c r="B17" s="16" t="s">
        <v>227</v>
      </c>
      <c r="C17" s="24">
        <v>210000.0</v>
      </c>
      <c r="D17" s="23">
        <f>((1-C20)*C17)+CAC!Q19</f>
        <v>231100</v>
      </c>
      <c r="E17" s="23">
        <f>((1-E20)*D17)+CAC!R19</f>
        <v>250301</v>
      </c>
      <c r="F17" s="23">
        <f>((1-F20)*E17)+CAC!S19</f>
        <v>267773.91</v>
      </c>
      <c r="G17" s="23">
        <f>((1-G20)*F17)+CAC!T19</f>
        <v>287674.2581</v>
      </c>
      <c r="H17" s="23">
        <f>((1-H20)*G17)+CAC!U19</f>
        <v>305783.5749</v>
      </c>
      <c r="I17" s="23">
        <f>((1-I20)*H17)+CAC!V19</f>
        <v>322263.0531</v>
      </c>
      <c r="J17" s="23">
        <f>((1-J20)*I17)+CAC!W19</f>
        <v>341259.3784</v>
      </c>
      <c r="K17" s="23">
        <f>((1-K20)*J17)+CAC!X19</f>
        <v>358546.0343</v>
      </c>
      <c r="L17" s="23">
        <f>((1-L20)*K17)+CAC!Y19</f>
        <v>374276.8912</v>
      </c>
      <c r="M17" s="23">
        <f>((1-M20)*L17)+CAC!Z19</f>
        <v>392591.971</v>
      </c>
      <c r="N17" s="23">
        <f>((1-N20)*M17)+CAC!AA19</f>
        <v>409258.6936</v>
      </c>
      <c r="O17" s="23">
        <f>((1-O20)*N17)+CAC!AB19</f>
        <v>424425.4112</v>
      </c>
      <c r="Q17" s="85"/>
    </row>
    <row r="18">
      <c r="B18" s="16" t="s">
        <v>348</v>
      </c>
      <c r="C18" s="65">
        <f>C17/C19</f>
        <v>2258.064516</v>
      </c>
      <c r="D18" s="65">
        <f>((C18*C19)+(CAC!Q20*CAC!Q21))/(CAC!Q21+C19)</f>
        <v>2264.67113</v>
      </c>
      <c r="E18" s="65">
        <f>((D18*D19)+(CAC!R20*CAC!R21))/(CAC!R21+D19)</f>
        <v>2269.81539</v>
      </c>
      <c r="F18" s="65">
        <f>((E18*E19)+(CAC!S20*CAC!S21))/(CAC!S21+E19)</f>
        <v>2273.927321</v>
      </c>
      <c r="G18" s="65">
        <f>((F18*F19)+(CAC!T20*CAC!T21))/(CAC!T21+F19)</f>
        <v>2277.571021</v>
      </c>
      <c r="H18" s="65">
        <f>((G18*G19)+(CAC!U20*CAC!U21))/(CAC!U21+G19)</f>
        <v>2280.521257</v>
      </c>
      <c r="I18" s="65">
        <f>((H18*H19)+(CAC!V20*CAC!V21))/(CAC!V21+H19)</f>
        <v>2282.953368</v>
      </c>
      <c r="J18" s="65">
        <f>((I18*I19)+(CAC!W20*CAC!W21))/(CAC!W21+I19)</f>
        <v>2285.148983</v>
      </c>
      <c r="K18" s="65">
        <f>((J18*J19)+(CAC!X20*CAC!X21))/(CAC!X21+J19)</f>
        <v>2286.969903</v>
      </c>
      <c r="L18" s="65">
        <f>((K18*K19)+(CAC!Y20*CAC!Y21))/(CAC!Y21+K19)</f>
        <v>2288.500646</v>
      </c>
      <c r="M18" s="65">
        <f>((L18*L19)+(CAC!Z20*CAC!Z21))/(CAC!Z21+L19)</f>
        <v>2289.89725</v>
      </c>
      <c r="N18" s="65">
        <f>((M18*M19)+(CAC!AA20*CAC!AA21))/(CAC!AA21+M19)</f>
        <v>2291.074294</v>
      </c>
      <c r="O18" s="65">
        <f>((N18*N19)+(CAC!AB20*CAC!AB21))/(CAC!AB21+N19)</f>
        <v>2292.077067</v>
      </c>
      <c r="Q18" s="85"/>
    </row>
    <row r="19">
      <c r="B19" s="16" t="s">
        <v>228</v>
      </c>
      <c r="C19" s="29">
        <v>93.0</v>
      </c>
      <c r="D19" s="29">
        <f t="shared" ref="D19:O19" si="6">D17/D18</f>
        <v>102.0457217</v>
      </c>
      <c r="E19" s="29">
        <f t="shared" si="6"/>
        <v>110.2737258</v>
      </c>
      <c r="F19" s="29">
        <f t="shared" si="6"/>
        <v>117.7583415</v>
      </c>
      <c r="G19" s="29">
        <f t="shared" si="6"/>
        <v>126.3074808</v>
      </c>
      <c r="H19" s="29">
        <f t="shared" si="6"/>
        <v>134.0849483</v>
      </c>
      <c r="I19" s="29">
        <f t="shared" si="6"/>
        <v>141.1605938</v>
      </c>
      <c r="J19" s="29">
        <f t="shared" si="6"/>
        <v>149.3379123</v>
      </c>
      <c r="K19" s="29">
        <f t="shared" si="6"/>
        <v>156.7777669</v>
      </c>
      <c r="L19" s="29">
        <f t="shared" si="6"/>
        <v>163.546771</v>
      </c>
      <c r="M19" s="29">
        <f t="shared" si="6"/>
        <v>171.4452345</v>
      </c>
      <c r="N19" s="29">
        <f t="shared" si="6"/>
        <v>178.6317863</v>
      </c>
      <c r="O19" s="29">
        <f t="shared" si="6"/>
        <v>185.1706547</v>
      </c>
      <c r="Q19" s="17" t="s">
        <v>421</v>
      </c>
    </row>
    <row r="20">
      <c r="B20" s="16" t="s">
        <v>424</v>
      </c>
      <c r="C20" s="19">
        <f t="shared" ref="C20:O20" si="7">$Q$20</f>
        <v>0.09</v>
      </c>
      <c r="D20" s="19">
        <f t="shared" si="7"/>
        <v>0.09</v>
      </c>
      <c r="E20" s="19">
        <f t="shared" si="7"/>
        <v>0.09</v>
      </c>
      <c r="F20" s="19">
        <f t="shared" si="7"/>
        <v>0.09</v>
      </c>
      <c r="G20" s="19">
        <f t="shared" si="7"/>
        <v>0.09</v>
      </c>
      <c r="H20" s="19">
        <f t="shared" si="7"/>
        <v>0.09</v>
      </c>
      <c r="I20" s="19">
        <f t="shared" si="7"/>
        <v>0.09</v>
      </c>
      <c r="J20" s="19">
        <f t="shared" si="7"/>
        <v>0.09</v>
      </c>
      <c r="K20" s="19">
        <f t="shared" si="7"/>
        <v>0.09</v>
      </c>
      <c r="L20" s="19">
        <f t="shared" si="7"/>
        <v>0.09</v>
      </c>
      <c r="M20" s="19">
        <f t="shared" si="7"/>
        <v>0.09</v>
      </c>
      <c r="N20" s="19">
        <f t="shared" si="7"/>
        <v>0.09</v>
      </c>
      <c r="O20" s="19">
        <f t="shared" si="7"/>
        <v>0.09</v>
      </c>
      <c r="Q20" s="83">
        <v>0.09</v>
      </c>
    </row>
    <row r="21">
      <c r="Q21" s="85"/>
    </row>
    <row r="22">
      <c r="B22" s="16" t="s">
        <v>248</v>
      </c>
      <c r="C22" s="24">
        <v>60000.0</v>
      </c>
      <c r="D22" s="23">
        <f>(((1-C25)*C22))+CAC!Q24</f>
        <v>84600</v>
      </c>
      <c r="E22" s="23">
        <f>(((1-D25)*D22))+CAC!R24</f>
        <v>106986</v>
      </c>
      <c r="F22" s="23">
        <f>(((1-E25)*E22))+CAC!S24</f>
        <v>127357.26</v>
      </c>
      <c r="G22" s="23">
        <f>(((1-F25)*F22))+CAC!T24</f>
        <v>148895.1066</v>
      </c>
      <c r="H22" s="23">
        <f>(((1-G25)*G22))+CAC!U24</f>
        <v>168494.547</v>
      </c>
      <c r="I22" s="23">
        <f>(((1-H25)*H22))+CAC!V24</f>
        <v>186330.0378</v>
      </c>
      <c r="J22" s="23">
        <f>(((1-I25)*I22))+CAC!W24</f>
        <v>205560.3344</v>
      </c>
      <c r="K22" s="23">
        <f>(((1-J25)*J22))+CAC!X24</f>
        <v>223059.9043</v>
      </c>
      <c r="L22" s="23">
        <f>(((1-K25)*K22))+CAC!Y24</f>
        <v>238984.5129</v>
      </c>
      <c r="M22" s="23">
        <f>(((1-L25)*L22))+CAC!Z24</f>
        <v>256475.9067</v>
      </c>
      <c r="N22" s="23">
        <f>(((1-M25)*M22))+CAC!AA24</f>
        <v>272393.0751</v>
      </c>
      <c r="O22" s="23">
        <f>(((1-N25)*N22))+CAC!AB24</f>
        <v>286877.6984</v>
      </c>
      <c r="Q22" s="85"/>
    </row>
    <row r="23">
      <c r="B23" s="16" t="s">
        <v>355</v>
      </c>
      <c r="C23" s="65">
        <f>C22/C24</f>
        <v>5454.545455</v>
      </c>
      <c r="D23" s="65">
        <f>((C23*C24)+(CAC!Q26*CAC!Q25))/(CAC!Q26+C24)</f>
        <v>6428.571429</v>
      </c>
      <c r="E23" s="65">
        <f>((D23*D24)+(CAC!R26*CAC!R25))/(CAC!R26+D24)</f>
        <v>7091.584158</v>
      </c>
      <c r="F23" s="65">
        <f>((E23*E24)+(CAC!S26*CAC!S25))/(CAC!S26+E24)</f>
        <v>7574.006302</v>
      </c>
      <c r="G23" s="65">
        <f>((F23*F24)+(CAC!T26*CAC!T25))/(CAC!T26+F24)</f>
        <v>7972.005861</v>
      </c>
      <c r="H23" s="65">
        <f>((G23*G24)+(CAC!U26*CAC!U25))/(CAC!U26+G24)</f>
        <v>8276.519946</v>
      </c>
      <c r="I23" s="65">
        <f>((H23*H24)+(CAC!V26*CAC!V25))/(CAC!V26+H24)</f>
        <v>8516.922797</v>
      </c>
      <c r="J23" s="65">
        <f>((I23*I24)+(CAC!W26*CAC!W25))/(CAC!W26+I24)</f>
        <v>8726.482286</v>
      </c>
      <c r="K23" s="65">
        <f>((J23*J24)+(CAC!X26*CAC!X25))/(CAC!X26+J24)</f>
        <v>8895.309689</v>
      </c>
      <c r="L23" s="65">
        <f>((K23*K24)+(CAC!Y26*CAC!Y25))/(CAC!Y26+K24)</f>
        <v>9033.992479</v>
      </c>
      <c r="M23" s="65">
        <f>((L23*L24)+(CAC!Z26*CAC!Z25))/(CAC!Z26+L24)</f>
        <v>9158.109211</v>
      </c>
      <c r="N23" s="65">
        <f>((M23*M24)+(CAC!AA26*CAC!AA25))/(CAC!AA26+M24)</f>
        <v>9261.019091</v>
      </c>
      <c r="O23" s="65">
        <f>((N23*N24)+(CAC!AB26*CAC!AB25))/(CAC!AB26+N24)</f>
        <v>9347.532989</v>
      </c>
      <c r="Q23" s="85"/>
    </row>
    <row r="24">
      <c r="B24" s="16" t="s">
        <v>249</v>
      </c>
      <c r="C24" s="65">
        <v>11.0</v>
      </c>
      <c r="D24" s="65">
        <f t="shared" ref="D24:O24" si="8">D22/D23</f>
        <v>13.16</v>
      </c>
      <c r="E24" s="65">
        <f t="shared" si="8"/>
        <v>15.08633298</v>
      </c>
      <c r="F24" s="65">
        <f t="shared" si="8"/>
        <v>16.81504542</v>
      </c>
      <c r="G24" s="65">
        <f t="shared" si="8"/>
        <v>18.677245</v>
      </c>
      <c r="H24" s="65">
        <f t="shared" si="8"/>
        <v>20.35813942</v>
      </c>
      <c r="I24" s="65">
        <f t="shared" si="8"/>
        <v>21.87762437</v>
      </c>
      <c r="J24" s="65">
        <f t="shared" si="8"/>
        <v>23.55592181</v>
      </c>
      <c r="K24" s="65">
        <f t="shared" si="8"/>
        <v>25.07612574</v>
      </c>
      <c r="L24" s="65">
        <f t="shared" si="8"/>
        <v>26.45391984</v>
      </c>
      <c r="M24" s="65">
        <f t="shared" si="8"/>
        <v>28.00533394</v>
      </c>
      <c r="N24" s="65">
        <f t="shared" si="8"/>
        <v>29.41286185</v>
      </c>
      <c r="O24" s="65">
        <f t="shared" si="8"/>
        <v>30.69020443</v>
      </c>
      <c r="Q24" s="17" t="s">
        <v>421</v>
      </c>
    </row>
    <row r="25">
      <c r="B25" s="16" t="s">
        <v>425</v>
      </c>
      <c r="C25" s="19">
        <f t="shared" ref="C25:O25" si="9">$Q$25</f>
        <v>0.09</v>
      </c>
      <c r="D25" s="19">
        <f t="shared" si="9"/>
        <v>0.09</v>
      </c>
      <c r="E25" s="19">
        <f t="shared" si="9"/>
        <v>0.09</v>
      </c>
      <c r="F25" s="19">
        <f t="shared" si="9"/>
        <v>0.09</v>
      </c>
      <c r="G25" s="19">
        <f t="shared" si="9"/>
        <v>0.09</v>
      </c>
      <c r="H25" s="19">
        <f t="shared" si="9"/>
        <v>0.09</v>
      </c>
      <c r="I25" s="19">
        <f t="shared" si="9"/>
        <v>0.09</v>
      </c>
      <c r="J25" s="19">
        <f t="shared" si="9"/>
        <v>0.09</v>
      </c>
      <c r="K25" s="19">
        <f t="shared" si="9"/>
        <v>0.09</v>
      </c>
      <c r="L25" s="19">
        <f t="shared" si="9"/>
        <v>0.09</v>
      </c>
      <c r="M25" s="19">
        <f t="shared" si="9"/>
        <v>0.09</v>
      </c>
      <c r="N25" s="19">
        <f t="shared" si="9"/>
        <v>0.09</v>
      </c>
      <c r="O25" s="19">
        <f t="shared" si="9"/>
        <v>0.09</v>
      </c>
      <c r="Q25" s="83">
        <v>0.09</v>
      </c>
    </row>
    <row r="26">
      <c r="Q26" s="85"/>
    </row>
    <row r="27">
      <c r="B27" s="16" t="s">
        <v>254</v>
      </c>
      <c r="C27" s="24">
        <v>105000.0</v>
      </c>
      <c r="D27" s="23">
        <f>((1-C30)*C27)+CAC!Q29</f>
        <v>115550</v>
      </c>
      <c r="E27" s="23">
        <f>((1-D30)*D27)+CAC!R29</f>
        <v>125150.5</v>
      </c>
      <c r="F27" s="23">
        <f>((1-E30)*E27)+CAC!S29</f>
        <v>133886.955</v>
      </c>
      <c r="G27" s="23">
        <f>((1-F30)*F27)+CAC!T29</f>
        <v>143837.1291</v>
      </c>
      <c r="H27" s="23">
        <f>((1-G30)*G27)+CAC!U29</f>
        <v>152891.7874</v>
      </c>
      <c r="I27" s="23">
        <f>((1-H30)*H27)+CAC!V29</f>
        <v>161131.5266</v>
      </c>
      <c r="J27" s="23">
        <f>((1-I30)*I27)+CAC!W29</f>
        <v>170629.6892</v>
      </c>
      <c r="K27" s="23">
        <f>((1-J30)*J27)+CAC!X29</f>
        <v>179273.0171</v>
      </c>
      <c r="L27" s="23">
        <f>((1-K30)*K27)+CAC!Y29</f>
        <v>187138.4456</v>
      </c>
      <c r="M27" s="23">
        <f>((1-L30)*L27)+CAC!Z29</f>
        <v>196295.9855</v>
      </c>
      <c r="N27" s="23">
        <f>((1-M30)*M27)+CAC!AA29</f>
        <v>204629.3468</v>
      </c>
      <c r="O27" s="23">
        <f>((1-N30)*N27)+CAC!AB29</f>
        <v>212212.7056</v>
      </c>
      <c r="Q27" s="85"/>
    </row>
    <row r="28">
      <c r="B28" s="16" t="s">
        <v>360</v>
      </c>
      <c r="C28" s="23">
        <f>C27/C29</f>
        <v>1346.153846</v>
      </c>
      <c r="D28" s="23">
        <f>((C28*C29)+(CAC!Q30*CAC!Q31))/(CAC!Q31+C29)</f>
        <v>1402.743142</v>
      </c>
      <c r="E28" s="23">
        <f>((D28*D29)+(CAC!R30*CAC!R31))/(CAC!R31+D29)</f>
        <v>1449.958686</v>
      </c>
      <c r="F28" s="23">
        <f>((E28*E29)+(CAC!S30*CAC!S31))/(CAC!S31+E29)</f>
        <v>1489.880446</v>
      </c>
      <c r="G28" s="23">
        <f>((F28*F29)+(CAC!T30*CAC!T31))/(CAC!T31+F29)</f>
        <v>1527.009273</v>
      </c>
      <c r="H28" s="23">
        <f>((G28*G29)+(CAC!U30*CAC!U31))/(CAC!U31+G29)</f>
        <v>1558.362687</v>
      </c>
      <c r="I28" s="23">
        <f>((H28*H29)+(CAC!V30*CAC!V31))/(CAC!V31+H29)</f>
        <v>1585.130305</v>
      </c>
      <c r="J28" s="23">
        <f>((I28*I29)+(CAC!W30*CAC!W31))/(CAC!W31+I29)</f>
        <v>1610.04593</v>
      </c>
      <c r="K28" s="23">
        <f>((J28*J29)+(CAC!X30*CAC!X31))/(CAC!X31+J29)</f>
        <v>1631.273736</v>
      </c>
      <c r="L28" s="23">
        <f>((K28*K29)+(CAC!Y30*CAC!Y31))/(CAC!Y31+K29)</f>
        <v>1649.529575</v>
      </c>
      <c r="M28" s="23">
        <f>((L28*L29)+(CAC!Z30*CAC!Z31))/(CAC!Z31+L29)</f>
        <v>1666.523814</v>
      </c>
      <c r="N28" s="23">
        <f>((M28*M29)+(CAC!AA30*CAC!AA31))/(CAC!AA31+M29)</f>
        <v>1681.104153</v>
      </c>
      <c r="O28" s="23">
        <f>((N28*N29)+(CAC!AB30*CAC!AB31))/(CAC!AB31+N29)</f>
        <v>1693.716435</v>
      </c>
      <c r="Q28" s="85"/>
    </row>
    <row r="29">
      <c r="B29" s="16" t="s">
        <v>255</v>
      </c>
      <c r="C29" s="29">
        <v>78.0</v>
      </c>
      <c r="D29" s="31">
        <f t="shared" ref="D29:O29" si="10">D27/D28</f>
        <v>82.37431111</v>
      </c>
      <c r="E29" s="31">
        <f t="shared" si="10"/>
        <v>86.3131489</v>
      </c>
      <c r="F29" s="31">
        <f t="shared" si="10"/>
        <v>89.86422724</v>
      </c>
      <c r="G29" s="31">
        <f t="shared" si="10"/>
        <v>94.19532126</v>
      </c>
      <c r="H29" s="31">
        <f t="shared" si="10"/>
        <v>98.11052887</v>
      </c>
      <c r="I29" s="31">
        <f t="shared" si="10"/>
        <v>101.6519122</v>
      </c>
      <c r="J29" s="31">
        <f t="shared" si="10"/>
        <v>105.97815</v>
      </c>
      <c r="K29" s="31">
        <f t="shared" si="10"/>
        <v>109.8975685</v>
      </c>
      <c r="L29" s="31">
        <f t="shared" si="10"/>
        <v>113.4495849</v>
      </c>
      <c r="M29" s="31">
        <f t="shared" si="10"/>
        <v>117.7876871</v>
      </c>
      <c r="N29" s="31">
        <f t="shared" si="10"/>
        <v>121.723182</v>
      </c>
      <c r="O29" s="31">
        <f t="shared" si="10"/>
        <v>125.2941173</v>
      </c>
      <c r="Q29" s="17" t="s">
        <v>421</v>
      </c>
    </row>
    <row r="30">
      <c r="B30" s="16" t="s">
        <v>426</v>
      </c>
      <c r="C30" s="19">
        <f t="shared" ref="C30:O30" si="11">$Q$30</f>
        <v>0.09</v>
      </c>
      <c r="D30" s="19">
        <f t="shared" si="11"/>
        <v>0.09</v>
      </c>
      <c r="E30" s="19">
        <f t="shared" si="11"/>
        <v>0.09</v>
      </c>
      <c r="F30" s="19">
        <f t="shared" si="11"/>
        <v>0.09</v>
      </c>
      <c r="G30" s="19">
        <f t="shared" si="11"/>
        <v>0.09</v>
      </c>
      <c r="H30" s="19">
        <f t="shared" si="11"/>
        <v>0.09</v>
      </c>
      <c r="I30" s="19">
        <f t="shared" si="11"/>
        <v>0.09</v>
      </c>
      <c r="J30" s="19">
        <f t="shared" si="11"/>
        <v>0.09</v>
      </c>
      <c r="K30" s="19">
        <f t="shared" si="11"/>
        <v>0.09</v>
      </c>
      <c r="L30" s="19">
        <f t="shared" si="11"/>
        <v>0.09</v>
      </c>
      <c r="M30" s="19">
        <f t="shared" si="11"/>
        <v>0.09</v>
      </c>
      <c r="N30" s="19">
        <f t="shared" si="11"/>
        <v>0.09</v>
      </c>
      <c r="O30" s="19">
        <f t="shared" si="11"/>
        <v>0.09</v>
      </c>
      <c r="Q30" s="83">
        <v>0.09</v>
      </c>
    </row>
    <row r="31">
      <c r="Q31" s="85"/>
    </row>
    <row r="32">
      <c r="B32" s="9" t="s">
        <v>427</v>
      </c>
      <c r="C32" s="21">
        <f>(Revenue!C7*Revenue!C10)+(Revenue!C12*Revenue!C15)+(Revenue!C17*Revenue!C20)+(Revenue!C22*Revenue!C25)+(Revenue!C27*Revenue!C30)</f>
        <v>94500</v>
      </c>
      <c r="D32" s="21">
        <f>(Revenue!D7*Revenue!D10)+(Revenue!D12*Revenue!D15)+(Revenue!D17*Revenue!D20)+(Revenue!D22*Revenue!D25)+(Revenue!D27*Revenue!D30)</f>
        <v>103995</v>
      </c>
      <c r="E32" s="21">
        <f>(Revenue!E7*Revenue!E10)+(Revenue!E12*Revenue!E15)+(Revenue!E17*Revenue!E20)+(Revenue!E22*Revenue!E25)+(Revenue!E27*Revenue!E30)</f>
        <v>112635.45</v>
      </c>
      <c r="F32" s="21">
        <f>(Revenue!F7*Revenue!F10)+(Revenue!F12*Revenue!F15)+(Revenue!F17*Revenue!F20)+(Revenue!F22*Revenue!F25)+(Revenue!F27*Revenue!F30)</f>
        <v>120498.2595</v>
      </c>
      <c r="G32" s="21">
        <f>(Revenue!G7*Revenue!G10)+(Revenue!G12*Revenue!G15)+(Revenue!G17*Revenue!G20)+(Revenue!G22*Revenue!G25)+(Revenue!G27*Revenue!G30)</f>
        <v>129453.4161</v>
      </c>
      <c r="H32" s="21">
        <f>(Revenue!H7*Revenue!H10)+(Revenue!H12*Revenue!H15)+(Revenue!H17*Revenue!H20)+(Revenue!H22*Revenue!H25)+(Revenue!H27*Revenue!H30)</f>
        <v>137602.6087</v>
      </c>
      <c r="I32" s="21">
        <f>(Revenue!I7*Revenue!I10)+(Revenue!I12*Revenue!I15)+(Revenue!I17*Revenue!I20)+(Revenue!I22*Revenue!I25)+(Revenue!I27*Revenue!I30)</f>
        <v>145018.3739</v>
      </c>
      <c r="J32" s="21">
        <f>(Revenue!J7*Revenue!J10)+(Revenue!J12*Revenue!J15)+(Revenue!J17*Revenue!J20)+(Revenue!J22*Revenue!J25)+(Revenue!J27*Revenue!J30)</f>
        <v>153566.7203</v>
      </c>
      <c r="K32" s="21">
        <f>(Revenue!K7*Revenue!K10)+(Revenue!K12*Revenue!K15)+(Revenue!K17*Revenue!K20)+(Revenue!K22*Revenue!K25)+(Revenue!K27*Revenue!K30)</f>
        <v>161345.7154</v>
      </c>
      <c r="L32" s="21">
        <f>(Revenue!L7*Revenue!L10)+(Revenue!L12*Revenue!L15)+(Revenue!L17*Revenue!L20)+(Revenue!L22*Revenue!L25)+(Revenue!L27*Revenue!L30)</f>
        <v>168424.601</v>
      </c>
      <c r="M32" s="21">
        <f>(Revenue!M7*Revenue!M10)+(Revenue!M12*Revenue!M15)+(Revenue!M17*Revenue!M20)+(Revenue!M22*Revenue!M25)+(Revenue!M27*Revenue!M30)</f>
        <v>176666.387</v>
      </c>
      <c r="N32" s="21">
        <f>(Revenue!N7*Revenue!N10)+(Revenue!N12*Revenue!N15)+(Revenue!N17*Revenue!N20)+(Revenue!N22*Revenue!N25)+(Revenue!N27*Revenue!N30)</f>
        <v>184166.4121</v>
      </c>
      <c r="O32" s="21">
        <f>(Revenue!O7*Revenue!O10)+(Revenue!O12*Revenue!O15)+(Revenue!O17*Revenue!O20)+(Revenue!O22*Revenue!O25)+(Revenue!O27*Revenue!O30)</f>
        <v>190991.435</v>
      </c>
      <c r="Q32" s="85"/>
    </row>
    <row r="34">
      <c r="B34" s="86" t="s">
        <v>428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>
      <c r="B35" s="16" t="s">
        <v>44</v>
      </c>
      <c r="C35" s="10" t="s">
        <v>419</v>
      </c>
      <c r="D35" s="6" t="s">
        <v>45</v>
      </c>
      <c r="E35" s="7"/>
      <c r="F35" s="8"/>
      <c r="G35" s="6" t="s">
        <v>46</v>
      </c>
      <c r="H35" s="7"/>
      <c r="I35" s="8"/>
      <c r="J35" s="6" t="s">
        <v>47</v>
      </c>
      <c r="K35" s="7"/>
      <c r="L35" s="8"/>
      <c r="M35" s="6" t="s">
        <v>48</v>
      </c>
      <c r="N35" s="7"/>
      <c r="O35" s="8"/>
    </row>
    <row r="36">
      <c r="B36" s="16" t="s">
        <v>49</v>
      </c>
      <c r="C36" s="10" t="s">
        <v>61</v>
      </c>
      <c r="D36" s="10" t="s">
        <v>50</v>
      </c>
      <c r="E36" s="10" t="s">
        <v>51</v>
      </c>
      <c r="F36" s="10" t="s">
        <v>52</v>
      </c>
      <c r="G36" s="10" t="s">
        <v>53</v>
      </c>
      <c r="H36" s="10" t="s">
        <v>54</v>
      </c>
      <c r="I36" s="10" t="s">
        <v>55</v>
      </c>
      <c r="J36" s="10" t="s">
        <v>56</v>
      </c>
      <c r="K36" s="10" t="s">
        <v>57</v>
      </c>
      <c r="L36" s="10" t="s">
        <v>58</v>
      </c>
      <c r="M36" s="10" t="s">
        <v>59</v>
      </c>
      <c r="N36" s="10" t="s">
        <v>60</v>
      </c>
      <c r="O36" s="10" t="s">
        <v>61</v>
      </c>
    </row>
    <row r="37">
      <c r="B37" s="9" t="s">
        <v>428</v>
      </c>
      <c r="C37" s="20"/>
      <c r="D37" s="20">
        <f>(CAC!Q35/3)+150000</f>
        <v>233333.3333</v>
      </c>
      <c r="E37" s="20">
        <f>((CAC!Q35/3)+(CAC!R35/3))+100000</f>
        <v>266666.6667</v>
      </c>
      <c r="F37" s="20">
        <f>(CAC!R35/3)+(CAC!S35/3)+(CAC!Q35/3)</f>
        <v>250000</v>
      </c>
      <c r="G37" s="20">
        <f>(CAC!S35/3)+(CAC!T35/3)+(CAC!R35/3)</f>
        <v>266666.6667</v>
      </c>
      <c r="H37" s="20">
        <f>(CAC!T35/3)+(CAC!U35/3)+(CAC!S35/3)</f>
        <v>283333.3333</v>
      </c>
      <c r="I37" s="20">
        <f>(CAC!U35/3)+(CAC!V35/3)+(CAC!T35/3)</f>
        <v>300000</v>
      </c>
      <c r="J37" s="20">
        <f>(CAC!V35/3)+(CAC!W35/3)+(CAC!U35/3)</f>
        <v>316666.6667</v>
      </c>
      <c r="K37" s="20">
        <f>(CAC!W35/3)+(CAC!X35/3)+(CAC!V35/3)</f>
        <v>333333.3333</v>
      </c>
      <c r="L37" s="20">
        <f>(CAC!X35/3)+(CAC!Y35/3)+(CAC!W35/3)</f>
        <v>350000</v>
      </c>
      <c r="M37" s="20">
        <f>(CAC!Y35/3)+(CAC!Z35/3)+(CAC!X35/3)</f>
        <v>366666.6667</v>
      </c>
      <c r="N37" s="20">
        <f>(CAC!Z35/3)+(CAC!AA35/3)+(CAC!Y35/3)</f>
        <v>383333.3333</v>
      </c>
      <c r="O37" s="20">
        <f>(CAC!AA35/3)+(CAC!AB35/3)+(CAC!Z35/3)</f>
        <v>400000</v>
      </c>
    </row>
  </sheetData>
  <mergeCells count="10">
    <mergeCell ref="G35:I35"/>
    <mergeCell ref="J35:L35"/>
    <mergeCell ref="B2:O2"/>
    <mergeCell ref="D3:F3"/>
    <mergeCell ref="G3:I3"/>
    <mergeCell ref="J3:L3"/>
    <mergeCell ref="M3:O3"/>
    <mergeCell ref="B34:O34"/>
    <mergeCell ref="D35:F35"/>
    <mergeCell ref="M35:O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38"/>
  </cols>
  <sheetData>
    <row r="2">
      <c r="B2" s="32" t="s">
        <v>429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>
      <c r="B3" s="9" t="s">
        <v>44</v>
      </c>
      <c r="C3" s="17"/>
      <c r="D3" s="40" t="s">
        <v>45</v>
      </c>
      <c r="E3" s="7"/>
      <c r="F3" s="8"/>
      <c r="G3" s="40" t="s">
        <v>46</v>
      </c>
      <c r="H3" s="7"/>
      <c r="I3" s="8"/>
      <c r="J3" s="40" t="s">
        <v>47</v>
      </c>
      <c r="K3" s="7"/>
      <c r="L3" s="8"/>
      <c r="M3" s="40" t="s">
        <v>48</v>
      </c>
      <c r="N3" s="7"/>
      <c r="O3" s="8"/>
    </row>
    <row r="4">
      <c r="B4" s="9" t="s">
        <v>49</v>
      </c>
      <c r="C4" s="17" t="s">
        <v>61</v>
      </c>
      <c r="D4" s="17" t="s">
        <v>50</v>
      </c>
      <c r="E4" s="17" t="s">
        <v>51</v>
      </c>
      <c r="F4" s="17" t="s">
        <v>52</v>
      </c>
      <c r="G4" s="17" t="s">
        <v>53</v>
      </c>
      <c r="H4" s="17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7" t="s">
        <v>61</v>
      </c>
    </row>
    <row r="5">
      <c r="B5" s="9" t="s">
        <v>430</v>
      </c>
      <c r="C5" s="80"/>
      <c r="D5" s="20">
        <f t="shared" ref="D5:O5" si="1">IF(6500*D9&gt;0, 6500*D9, 0)</f>
        <v>32500</v>
      </c>
      <c r="E5" s="20">
        <f t="shared" si="1"/>
        <v>32500</v>
      </c>
      <c r="F5" s="20">
        <f t="shared" si="1"/>
        <v>32500</v>
      </c>
      <c r="G5" s="20">
        <f t="shared" si="1"/>
        <v>32500</v>
      </c>
      <c r="H5" s="20">
        <f t="shared" si="1"/>
        <v>32500</v>
      </c>
      <c r="I5" s="20">
        <f t="shared" si="1"/>
        <v>32500</v>
      </c>
      <c r="J5" s="20">
        <f t="shared" si="1"/>
        <v>32500</v>
      </c>
      <c r="K5" s="20">
        <f t="shared" si="1"/>
        <v>32500</v>
      </c>
      <c r="L5" s="20">
        <f t="shared" si="1"/>
        <v>32500</v>
      </c>
      <c r="M5" s="20">
        <f t="shared" si="1"/>
        <v>32500</v>
      </c>
      <c r="N5" s="20">
        <f t="shared" si="1"/>
        <v>32500</v>
      </c>
      <c r="O5" s="20">
        <f t="shared" si="1"/>
        <v>32500</v>
      </c>
    </row>
    <row r="6">
      <c r="B6" s="16" t="s">
        <v>431</v>
      </c>
      <c r="C6" s="56"/>
      <c r="D6" s="31">
        <f>Overview!C26</f>
        <v>126</v>
      </c>
      <c r="E6" s="31">
        <f>Overview!D26</f>
        <v>129</v>
      </c>
      <c r="F6" s="31">
        <f>Overview!E26</f>
        <v>138</v>
      </c>
      <c r="G6" s="31">
        <f>Overview!F26</f>
        <v>143</v>
      </c>
      <c r="H6" s="31">
        <f>Overview!G26</f>
        <v>147</v>
      </c>
      <c r="I6" s="31">
        <f>Overview!H26</f>
        <v>152</v>
      </c>
      <c r="J6" s="31">
        <f>Overview!I26</f>
        <v>159</v>
      </c>
      <c r="K6" s="31">
        <f>Overview!J26</f>
        <v>164</v>
      </c>
      <c r="L6" s="31">
        <f>Overview!K26</f>
        <v>168</v>
      </c>
      <c r="M6" s="31">
        <f>Overview!L26</f>
        <v>174</v>
      </c>
      <c r="N6" s="31">
        <f>Overview!M26</f>
        <v>177</v>
      </c>
      <c r="O6" s="31">
        <f>Overview!N26</f>
        <v>180</v>
      </c>
    </row>
    <row r="7">
      <c r="B7" s="16" t="s">
        <v>432</v>
      </c>
      <c r="C7" s="10"/>
      <c r="D7" s="10">
        <v>76.0</v>
      </c>
      <c r="E7" s="56">
        <f t="shared" ref="E7:O7" si="2">D7+D9</f>
        <v>81</v>
      </c>
      <c r="F7" s="56">
        <f t="shared" si="2"/>
        <v>86</v>
      </c>
      <c r="G7" s="56">
        <f t="shared" si="2"/>
        <v>91</v>
      </c>
      <c r="H7" s="56">
        <f t="shared" si="2"/>
        <v>96</v>
      </c>
      <c r="I7" s="56">
        <f t="shared" si="2"/>
        <v>101</v>
      </c>
      <c r="J7" s="56">
        <f t="shared" si="2"/>
        <v>106</v>
      </c>
      <c r="K7" s="56">
        <f t="shared" si="2"/>
        <v>111</v>
      </c>
      <c r="L7" s="56">
        <f t="shared" si="2"/>
        <v>116</v>
      </c>
      <c r="M7" s="56">
        <f t="shared" si="2"/>
        <v>121</v>
      </c>
      <c r="N7" s="56">
        <f t="shared" si="2"/>
        <v>126</v>
      </c>
      <c r="O7" s="56">
        <f t="shared" si="2"/>
        <v>131</v>
      </c>
    </row>
    <row r="8">
      <c r="B8" s="16" t="s">
        <v>433</v>
      </c>
      <c r="C8" s="56"/>
      <c r="D8" s="31">
        <f t="shared" ref="D8:O8" si="3">D6-D7</f>
        <v>50</v>
      </c>
      <c r="E8" s="31">
        <f t="shared" si="3"/>
        <v>48</v>
      </c>
      <c r="F8" s="31">
        <f t="shared" si="3"/>
        <v>52</v>
      </c>
      <c r="G8" s="31">
        <f t="shared" si="3"/>
        <v>52</v>
      </c>
      <c r="H8" s="31">
        <f t="shared" si="3"/>
        <v>51</v>
      </c>
      <c r="I8" s="31">
        <f t="shared" si="3"/>
        <v>51</v>
      </c>
      <c r="J8" s="31">
        <f t="shared" si="3"/>
        <v>53</v>
      </c>
      <c r="K8" s="31">
        <f t="shared" si="3"/>
        <v>53</v>
      </c>
      <c r="L8" s="31">
        <f t="shared" si="3"/>
        <v>52</v>
      </c>
      <c r="M8" s="31">
        <f t="shared" si="3"/>
        <v>53</v>
      </c>
      <c r="N8" s="31">
        <f t="shared" si="3"/>
        <v>51</v>
      </c>
      <c r="O8" s="31">
        <f t="shared" si="3"/>
        <v>49</v>
      </c>
    </row>
    <row r="9">
      <c r="B9" s="16" t="s">
        <v>434</v>
      </c>
      <c r="C9" s="10"/>
      <c r="D9" s="10">
        <v>5.0</v>
      </c>
      <c r="E9" s="10">
        <v>5.0</v>
      </c>
      <c r="F9" s="10">
        <v>5.0</v>
      </c>
      <c r="G9" s="10">
        <v>5.0</v>
      </c>
      <c r="H9" s="10">
        <v>5.0</v>
      </c>
      <c r="I9" s="10">
        <v>5.0</v>
      </c>
      <c r="J9" s="10">
        <v>5.0</v>
      </c>
      <c r="K9" s="10">
        <v>5.0</v>
      </c>
      <c r="L9" s="10">
        <v>5.0</v>
      </c>
      <c r="M9" s="10">
        <v>5.0</v>
      </c>
      <c r="N9" s="10">
        <v>5.0</v>
      </c>
      <c r="O9" s="10">
        <v>5.0</v>
      </c>
    </row>
    <row r="10">
      <c r="B10" s="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</sheetData>
  <mergeCells count="5">
    <mergeCell ref="B2:O2"/>
    <mergeCell ref="D3:F3"/>
    <mergeCell ref="G3:I3"/>
    <mergeCell ref="J3:L3"/>
    <mergeCell ref="M3:O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7.25"/>
    <col customWidth="1" min="3" max="3" width="15.63"/>
    <col customWidth="1" min="4" max="4" width="5.63"/>
    <col customWidth="1" min="5" max="5" width="23.0"/>
  </cols>
  <sheetData>
    <row r="1" ht="11.25" customHeight="1"/>
    <row r="2">
      <c r="B2" s="6" t="s">
        <v>45</v>
      </c>
      <c r="C2" s="8"/>
      <c r="D2" s="1"/>
      <c r="E2" s="9" t="s">
        <v>44</v>
      </c>
      <c r="F2" s="40" t="s">
        <v>45</v>
      </c>
      <c r="G2" s="7"/>
      <c r="H2" s="8"/>
      <c r="I2" s="40" t="s">
        <v>46</v>
      </c>
      <c r="J2" s="7"/>
      <c r="K2" s="8"/>
      <c r="L2" s="40" t="s">
        <v>47</v>
      </c>
      <c r="M2" s="7"/>
      <c r="N2" s="8"/>
      <c r="O2" s="40" t="s">
        <v>48</v>
      </c>
      <c r="P2" s="7"/>
      <c r="Q2" s="8"/>
    </row>
    <row r="3">
      <c r="A3" s="18"/>
      <c r="B3" s="16" t="s">
        <v>435</v>
      </c>
      <c r="C3" s="19">
        <v>0.95</v>
      </c>
      <c r="D3" s="1"/>
      <c r="E3" s="9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56</v>
      </c>
      <c r="M3" s="17" t="s">
        <v>57</v>
      </c>
      <c r="N3" s="17" t="s">
        <v>58</v>
      </c>
      <c r="O3" s="17" t="s">
        <v>59</v>
      </c>
      <c r="P3" s="17" t="s">
        <v>60</v>
      </c>
      <c r="Q3" s="17" t="s">
        <v>61</v>
      </c>
    </row>
    <row r="4">
      <c r="A4" s="1"/>
      <c r="B4" s="16" t="s">
        <v>436</v>
      </c>
      <c r="C4" s="19">
        <v>0.16</v>
      </c>
      <c r="D4" s="1"/>
      <c r="E4" s="9" t="s">
        <v>81</v>
      </c>
      <c r="F4" s="20">
        <f>Overview!C4+Overview!C5</f>
        <v>1388833.333</v>
      </c>
      <c r="G4" s="20">
        <f>Overview!D4+Overview!D5</f>
        <v>1518171.667</v>
      </c>
      <c r="H4" s="20">
        <f>Overview!E4+Overview!E5</f>
        <v>1588869.55</v>
      </c>
      <c r="I4" s="20">
        <f>Overview!F4+Overview!F5</f>
        <v>1705037.957</v>
      </c>
      <c r="J4" s="20">
        <f>Overview!G4+Overview!G5</f>
        <v>1812251.208</v>
      </c>
      <c r="K4" s="20">
        <f>Overview!H4+Overview!H5</f>
        <v>1911315.266</v>
      </c>
      <c r="L4" s="20">
        <f>Overview!I4+Overview!I5</f>
        <v>2022963.558</v>
      </c>
      <c r="M4" s="20">
        <f>Overview!J4+Overview!J5</f>
        <v>2126063.505</v>
      </c>
      <c r="N4" s="20">
        <f>Overview!K4+Overview!K5</f>
        <v>2221384.456</v>
      </c>
      <c r="O4" s="20">
        <f>Overview!L4+Overview!L5</f>
        <v>2329626.522</v>
      </c>
      <c r="P4" s="20">
        <f>Overview!M4+Overview!M5</f>
        <v>2429626.801</v>
      </c>
      <c r="Q4" s="20">
        <f>Overview!N4+Overview!N5</f>
        <v>2522127.056</v>
      </c>
    </row>
    <row r="5">
      <c r="B5" s="16" t="s">
        <v>437</v>
      </c>
      <c r="C5" s="19">
        <v>0.05</v>
      </c>
      <c r="D5" s="1"/>
      <c r="E5" s="16" t="s">
        <v>438</v>
      </c>
      <c r="F5" s="24">
        <f t="shared" ref="F5:H5" si="1">F4*$C$3</f>
        <v>1319391.667</v>
      </c>
      <c r="G5" s="24">
        <f t="shared" si="1"/>
        <v>1442263.083</v>
      </c>
      <c r="H5" s="24">
        <f t="shared" si="1"/>
        <v>1509426.073</v>
      </c>
      <c r="I5" s="24">
        <f t="shared" ref="I5:K5" si="2">I4*$C$10</f>
        <v>1619786.059</v>
      </c>
      <c r="J5" s="24">
        <f t="shared" si="2"/>
        <v>1721638.647</v>
      </c>
      <c r="K5" s="24">
        <f t="shared" si="2"/>
        <v>1815749.502</v>
      </c>
      <c r="L5" s="24">
        <f t="shared" ref="L5:N5" si="3">L4*$C$17</f>
        <v>1921815.38</v>
      </c>
      <c r="M5" s="24">
        <f t="shared" si="3"/>
        <v>2019760.33</v>
      </c>
      <c r="N5" s="24">
        <f t="shared" si="3"/>
        <v>2110315.233</v>
      </c>
      <c r="O5" s="24">
        <f t="shared" ref="O5:Q5" si="4">O4*$C$24</f>
        <v>2213145.196</v>
      </c>
      <c r="P5" s="24">
        <f t="shared" si="4"/>
        <v>2308145.461</v>
      </c>
      <c r="Q5" s="24">
        <f t="shared" si="4"/>
        <v>2396020.703</v>
      </c>
    </row>
    <row r="6">
      <c r="B6" s="16" t="s">
        <v>439</v>
      </c>
      <c r="C6" s="19">
        <v>0.06</v>
      </c>
      <c r="D6" s="1"/>
      <c r="E6" s="16" t="s">
        <v>440</v>
      </c>
      <c r="F6" s="24">
        <f t="shared" ref="F6:Q6" si="5">160000/0.92</f>
        <v>173913.0435</v>
      </c>
      <c r="G6" s="24">
        <f t="shared" si="5"/>
        <v>173913.0435</v>
      </c>
      <c r="H6" s="24">
        <f t="shared" si="5"/>
        <v>173913.0435</v>
      </c>
      <c r="I6" s="24">
        <f t="shared" si="5"/>
        <v>173913.0435</v>
      </c>
      <c r="J6" s="24">
        <f t="shared" si="5"/>
        <v>173913.0435</v>
      </c>
      <c r="K6" s="24">
        <f t="shared" si="5"/>
        <v>173913.0435</v>
      </c>
      <c r="L6" s="24">
        <f t="shared" si="5"/>
        <v>173913.0435</v>
      </c>
      <c r="M6" s="24">
        <f t="shared" si="5"/>
        <v>173913.0435</v>
      </c>
      <c r="N6" s="24">
        <f t="shared" si="5"/>
        <v>173913.0435</v>
      </c>
      <c r="O6" s="24">
        <f t="shared" si="5"/>
        <v>173913.0435</v>
      </c>
      <c r="P6" s="24">
        <f t="shared" si="5"/>
        <v>173913.0435</v>
      </c>
      <c r="Q6" s="24">
        <f t="shared" si="5"/>
        <v>173913.0435</v>
      </c>
    </row>
    <row r="7">
      <c r="B7" s="16" t="s">
        <v>441</v>
      </c>
      <c r="C7" s="19">
        <v>0.34</v>
      </c>
      <c r="D7" s="1"/>
      <c r="E7" s="16" t="s">
        <v>442</v>
      </c>
      <c r="F7" s="24">
        <f>F6*(1-Overview!$S$3)</f>
        <v>163478.2609</v>
      </c>
      <c r="G7" s="24">
        <f>G6*(1-Overview!$S$3)</f>
        <v>163478.2609</v>
      </c>
      <c r="H7" s="24">
        <f>H6*(1-Overview!$S$3)</f>
        <v>163478.2609</v>
      </c>
      <c r="I7" s="24">
        <f>I6*(1-Overview!$S$6)</f>
        <v>163478.2609</v>
      </c>
      <c r="J7" s="24">
        <f>J6*(1-Overview!$S$6)</f>
        <v>163478.2609</v>
      </c>
      <c r="K7" s="24">
        <f>K6*(1-Overview!$S$6)</f>
        <v>163478.2609</v>
      </c>
      <c r="L7" s="24">
        <f>L6*(1-Overview!$S$9)</f>
        <v>163478.2609</v>
      </c>
      <c r="M7" s="24">
        <f>M6*(1-Overview!$S$9)</f>
        <v>163478.2609</v>
      </c>
      <c r="N7" s="24">
        <f>N6*(1-Overview!$S$9)</f>
        <v>163478.2609</v>
      </c>
      <c r="O7" s="24">
        <f>O6*(1-Overview!$S$12)</f>
        <v>163478.2609</v>
      </c>
      <c r="P7" s="24">
        <f>P6*(1-Overview!$S$12)</f>
        <v>163478.2609</v>
      </c>
      <c r="Q7" s="24">
        <f>Q6*(1-Overview!$S$12)</f>
        <v>163478.2609</v>
      </c>
    </row>
    <row r="8">
      <c r="E8" s="16" t="s">
        <v>443</v>
      </c>
      <c r="F8" s="24">
        <f t="shared" ref="F8:Q8" si="6">F5-F6</f>
        <v>1145478.623</v>
      </c>
      <c r="G8" s="24">
        <f t="shared" si="6"/>
        <v>1268350.04</v>
      </c>
      <c r="H8" s="24">
        <f t="shared" si="6"/>
        <v>1335513.029</v>
      </c>
      <c r="I8" s="24">
        <f t="shared" si="6"/>
        <v>1445873.016</v>
      </c>
      <c r="J8" s="24">
        <f t="shared" si="6"/>
        <v>1547725.604</v>
      </c>
      <c r="K8" s="24">
        <f t="shared" si="6"/>
        <v>1641836.459</v>
      </c>
      <c r="L8" s="24">
        <f t="shared" si="6"/>
        <v>1747902.337</v>
      </c>
      <c r="M8" s="24">
        <f t="shared" si="6"/>
        <v>1845847.286</v>
      </c>
      <c r="N8" s="24">
        <f t="shared" si="6"/>
        <v>1936402.19</v>
      </c>
      <c r="O8" s="24">
        <f t="shared" si="6"/>
        <v>2039232.152</v>
      </c>
      <c r="P8" s="24">
        <f t="shared" si="6"/>
        <v>2134232.418</v>
      </c>
      <c r="Q8" s="24">
        <f t="shared" si="6"/>
        <v>2222107.66</v>
      </c>
    </row>
    <row r="9">
      <c r="B9" s="6" t="s">
        <v>46</v>
      </c>
      <c r="C9" s="8"/>
      <c r="E9" s="16" t="s">
        <v>444</v>
      </c>
      <c r="F9" s="24">
        <f>F8*(1-Overview!$S$3)</f>
        <v>1076749.906</v>
      </c>
      <c r="G9" s="24">
        <f>G8*(1-Overview!$S$3)</f>
        <v>1192249.037</v>
      </c>
      <c r="H9" s="24">
        <f>H8*(1-Overview!$S$3)</f>
        <v>1255382.247</v>
      </c>
      <c r="I9" s="24">
        <f>I8*(1-Overview!$S$6)</f>
        <v>1359120.635</v>
      </c>
      <c r="J9" s="24">
        <f>J8*(1-Overview!$S$6)</f>
        <v>1454862.068</v>
      </c>
      <c r="K9" s="24">
        <f>K8*(1-Overview!$S$6)</f>
        <v>1543326.271</v>
      </c>
      <c r="L9" s="24">
        <f>L8*(1-Overview!$S$9)</f>
        <v>1643028.197</v>
      </c>
      <c r="M9" s="24">
        <f>M8*(1-Overview!$S$9)</f>
        <v>1735096.449</v>
      </c>
      <c r="N9" s="24">
        <f>N8*(1-Overview!$S$9)</f>
        <v>1820218.058</v>
      </c>
      <c r="O9" s="24">
        <f>O8*(1-Overview!$S$12)</f>
        <v>1916878.223</v>
      </c>
      <c r="P9" s="24">
        <f>P8*(1-Overview!$S$12)</f>
        <v>2006178.473</v>
      </c>
      <c r="Q9" s="24">
        <f>Q8*(1-Overview!$S$12)</f>
        <v>2088781.2</v>
      </c>
    </row>
    <row r="10">
      <c r="B10" s="16" t="s">
        <v>435</v>
      </c>
      <c r="C10" s="19">
        <v>0.95</v>
      </c>
      <c r="E10" s="1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</row>
    <row r="11">
      <c r="B11" s="16" t="s">
        <v>436</v>
      </c>
      <c r="C11" s="19">
        <v>0.16</v>
      </c>
      <c r="E11" s="16" t="s">
        <v>445</v>
      </c>
      <c r="F11" s="24">
        <f t="shared" ref="F11:H11" si="7">F7*$C$4</f>
        <v>26156.52174</v>
      </c>
      <c r="G11" s="24">
        <f t="shared" si="7"/>
        <v>26156.52174</v>
      </c>
      <c r="H11" s="24">
        <f t="shared" si="7"/>
        <v>26156.52174</v>
      </c>
      <c r="I11" s="24">
        <f t="shared" ref="I11:K11" si="8">I7*$C$11</f>
        <v>26156.52174</v>
      </c>
      <c r="J11" s="24">
        <f t="shared" si="8"/>
        <v>26156.52174</v>
      </c>
      <c r="K11" s="24">
        <f t="shared" si="8"/>
        <v>26156.52174</v>
      </c>
      <c r="L11" s="24">
        <f t="shared" ref="L11:N11" si="9">L7*$C$18</f>
        <v>26156.52174</v>
      </c>
      <c r="M11" s="24">
        <f t="shared" si="9"/>
        <v>26156.52174</v>
      </c>
      <c r="N11" s="24">
        <f t="shared" si="9"/>
        <v>26156.52174</v>
      </c>
      <c r="O11" s="24">
        <f t="shared" ref="O11:Q11" si="10">O7*$C$25</f>
        <v>26156.52174</v>
      </c>
      <c r="P11" s="24">
        <f t="shared" si="10"/>
        <v>26156.52174</v>
      </c>
      <c r="Q11" s="24">
        <f t="shared" si="10"/>
        <v>26156.52174</v>
      </c>
    </row>
    <row r="12">
      <c r="B12" s="16" t="s">
        <v>437</v>
      </c>
      <c r="C12" s="19">
        <v>0.05</v>
      </c>
      <c r="E12" s="16" t="s">
        <v>446</v>
      </c>
      <c r="F12" s="24">
        <f t="shared" ref="F12:H12" si="11">(F9*$C$5)</f>
        <v>53837.49529</v>
      </c>
      <c r="G12" s="24">
        <f t="shared" si="11"/>
        <v>59612.45187</v>
      </c>
      <c r="H12" s="24">
        <f t="shared" si="11"/>
        <v>62769.11236</v>
      </c>
      <c r="I12" s="24">
        <f t="shared" ref="I12:K12" si="12">(I9*$C$12)</f>
        <v>67956.03174</v>
      </c>
      <c r="J12" s="24">
        <f t="shared" si="12"/>
        <v>72743.10338</v>
      </c>
      <c r="K12" s="24">
        <f t="shared" si="12"/>
        <v>77166.31357</v>
      </c>
      <c r="L12" s="24">
        <f t="shared" ref="L12:N12" si="13">(L9*$C$19)</f>
        <v>82151.40984</v>
      </c>
      <c r="M12" s="24">
        <f t="shared" si="13"/>
        <v>86754.82245</v>
      </c>
      <c r="N12" s="24">
        <f t="shared" si="13"/>
        <v>91010.90292</v>
      </c>
      <c r="O12" s="24">
        <f t="shared" ref="O12:Q12" si="14">(O9*$C$26)</f>
        <v>95843.91115</v>
      </c>
      <c r="P12" s="24">
        <f t="shared" si="14"/>
        <v>100308.9236</v>
      </c>
      <c r="Q12" s="24">
        <f t="shared" si="14"/>
        <v>104439.06</v>
      </c>
    </row>
    <row r="13">
      <c r="B13" s="16" t="s">
        <v>439</v>
      </c>
      <c r="C13" s="19">
        <v>0.06</v>
      </c>
      <c r="E13" s="16" t="s">
        <v>447</v>
      </c>
      <c r="F13" s="24">
        <f t="shared" ref="F13:H13" si="15">F9*$C$6</f>
        <v>64604.99435</v>
      </c>
      <c r="G13" s="24">
        <f t="shared" si="15"/>
        <v>71534.94225</v>
      </c>
      <c r="H13" s="24">
        <f t="shared" si="15"/>
        <v>75322.93484</v>
      </c>
      <c r="I13" s="24">
        <f t="shared" ref="I13:K13" si="16">I9*$C$13</f>
        <v>81547.23809</v>
      </c>
      <c r="J13" s="24">
        <f t="shared" si="16"/>
        <v>87291.72406</v>
      </c>
      <c r="K13" s="24">
        <f t="shared" si="16"/>
        <v>92599.57628</v>
      </c>
      <c r="L13" s="24">
        <f t="shared" ref="L13:N13" si="17">L9*$C$20</f>
        <v>98581.69181</v>
      </c>
      <c r="M13" s="24">
        <f t="shared" si="17"/>
        <v>104105.7869</v>
      </c>
      <c r="N13" s="24">
        <f t="shared" si="17"/>
        <v>109213.0835</v>
      </c>
      <c r="O13" s="24">
        <f t="shared" ref="O13:Q13" si="18">O9*$C$27</f>
        <v>115012.6934</v>
      </c>
      <c r="P13" s="24">
        <f t="shared" si="18"/>
        <v>120370.7084</v>
      </c>
      <c r="Q13" s="24">
        <f t="shared" si="18"/>
        <v>125326.872</v>
      </c>
    </row>
    <row r="14">
      <c r="B14" s="16" t="s">
        <v>441</v>
      </c>
      <c r="C14" s="19">
        <v>0.34</v>
      </c>
      <c r="E14" s="16" t="s">
        <v>448</v>
      </c>
      <c r="F14" s="24">
        <f>Overview!C15*$C$7</f>
        <v>35848.68418</v>
      </c>
      <c r="G14" s="24">
        <f>Overview!D15*$C$7</f>
        <v>107910.504</v>
      </c>
      <c r="H14" s="24">
        <f>Overview!E15*$C$7</f>
        <v>109899.6472</v>
      </c>
      <c r="I14" s="24">
        <f>Overview!F15*$C$14</f>
        <v>121882.2269</v>
      </c>
      <c r="J14" s="24">
        <f>Overview!G15*$C$14</f>
        <v>115365.5757</v>
      </c>
      <c r="K14" s="24">
        <f>Overview!H15*$C$14</f>
        <v>154708.8082</v>
      </c>
      <c r="L14" s="24">
        <f>Overview!I15*$C$21</f>
        <v>91721.7521</v>
      </c>
      <c r="M14" s="24">
        <f>Overview!J15*$C$21</f>
        <v>184569.0316</v>
      </c>
      <c r="N14" s="24">
        <f>Overview!K15*$C$21</f>
        <v>199242.6217</v>
      </c>
      <c r="O14" s="24">
        <f>Overview!L15*$C$28</f>
        <v>207394.7303</v>
      </c>
      <c r="P14" s="24">
        <f>Overview!M15*$C$28</f>
        <v>230425.7611</v>
      </c>
      <c r="Q14" s="24">
        <f>Overview!N15*$C$28</f>
        <v>232751.6337</v>
      </c>
    </row>
    <row r="16">
      <c r="B16" s="6" t="s">
        <v>47</v>
      </c>
      <c r="C16" s="8"/>
      <c r="E16" s="16" t="s">
        <v>449</v>
      </c>
      <c r="F16" s="25">
        <f t="shared" ref="F16:Q16" si="19">SUM(F11:F14)/F4</f>
        <v>0.1299275379</v>
      </c>
      <c r="G16" s="25">
        <f t="shared" si="19"/>
        <v>0.1746933009</v>
      </c>
      <c r="H16" s="25">
        <f t="shared" si="19"/>
        <v>0.1725429354</v>
      </c>
      <c r="I16" s="25">
        <f t="shared" si="19"/>
        <v>0.1745075628</v>
      </c>
      <c r="J16" s="25">
        <f t="shared" si="19"/>
        <v>0.1663990751</v>
      </c>
      <c r="K16" s="25">
        <f t="shared" si="19"/>
        <v>0.1834502272</v>
      </c>
      <c r="L16" s="25">
        <f t="shared" si="19"/>
        <v>0.1476108525</v>
      </c>
      <c r="M16" s="25">
        <f t="shared" si="19"/>
        <v>0.1888871907</v>
      </c>
      <c r="N16" s="25">
        <f t="shared" si="19"/>
        <v>0.1916026416</v>
      </c>
      <c r="O16" s="25">
        <f t="shared" si="19"/>
        <v>0.1907635634</v>
      </c>
      <c r="P16" s="25">
        <f t="shared" si="19"/>
        <v>0.1964342485</v>
      </c>
      <c r="Q16" s="25">
        <f t="shared" si="19"/>
        <v>0.1937547461</v>
      </c>
    </row>
    <row r="17">
      <c r="B17" s="16" t="s">
        <v>435</v>
      </c>
      <c r="C17" s="19">
        <v>0.95</v>
      </c>
    </row>
    <row r="18">
      <c r="B18" s="16" t="s">
        <v>436</v>
      </c>
      <c r="C18" s="19">
        <v>0.16</v>
      </c>
      <c r="E18" s="17" t="s">
        <v>450</v>
      </c>
      <c r="F18" s="25">
        <f t="shared" ref="F18:Q18" si="20">(F12+F13+F14)/F8</f>
        <v>0.1346958125</v>
      </c>
      <c r="G18" s="25">
        <f t="shared" si="20"/>
        <v>0.1884794344</v>
      </c>
      <c r="H18" s="25">
        <f t="shared" si="20"/>
        <v>0.1856902097</v>
      </c>
      <c r="I18" s="25">
        <f t="shared" si="20"/>
        <v>0.1876966329</v>
      </c>
      <c r="J18" s="25">
        <f t="shared" si="20"/>
        <v>0.1779387783</v>
      </c>
      <c r="K18" s="25">
        <f t="shared" si="20"/>
        <v>0.1976291221</v>
      </c>
      <c r="L18" s="25">
        <f t="shared" si="20"/>
        <v>0.1558753301</v>
      </c>
      <c r="M18" s="25">
        <f t="shared" si="20"/>
        <v>0.203391496</v>
      </c>
      <c r="N18" s="25">
        <f t="shared" si="20"/>
        <v>0.206293202</v>
      </c>
      <c r="O18" s="25">
        <f t="shared" si="20"/>
        <v>0.2051023638</v>
      </c>
      <c r="P18" s="25">
        <f t="shared" si="20"/>
        <v>0.2113665735</v>
      </c>
      <c r="Q18" s="25">
        <f t="shared" si="20"/>
        <v>0.208143635</v>
      </c>
    </row>
    <row r="19">
      <c r="B19" s="16" t="s">
        <v>437</v>
      </c>
      <c r="C19" s="19">
        <v>0.05</v>
      </c>
    </row>
    <row r="20">
      <c r="B20" s="16" t="s">
        <v>439</v>
      </c>
      <c r="C20" s="19">
        <v>0.06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</row>
    <row r="21">
      <c r="B21" s="16" t="s">
        <v>441</v>
      </c>
      <c r="C21" s="19">
        <v>0.34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</row>
    <row r="22">
      <c r="H22" s="87"/>
      <c r="I22" s="88"/>
      <c r="J22" s="88"/>
      <c r="K22" s="88"/>
      <c r="L22" s="88"/>
      <c r="M22" s="88"/>
      <c r="N22" s="88"/>
      <c r="O22" s="88"/>
      <c r="P22" s="88"/>
      <c r="Q22" s="88"/>
    </row>
    <row r="23">
      <c r="B23" s="6" t="s">
        <v>48</v>
      </c>
      <c r="C23" s="8"/>
      <c r="H23" s="84"/>
      <c r="I23" s="88"/>
      <c r="J23" s="88"/>
      <c r="K23" s="88"/>
      <c r="L23" s="88"/>
      <c r="M23" s="88"/>
      <c r="N23" s="88"/>
      <c r="O23" s="88"/>
      <c r="P23" s="88"/>
      <c r="Q23" s="88"/>
    </row>
    <row r="24">
      <c r="B24" s="16" t="s">
        <v>435</v>
      </c>
      <c r="C24" s="19">
        <v>0.95</v>
      </c>
      <c r="H24" s="84"/>
    </row>
    <row r="25">
      <c r="B25" s="16" t="s">
        <v>436</v>
      </c>
      <c r="C25" s="19">
        <v>0.16</v>
      </c>
      <c r="F25" s="88"/>
      <c r="G25" s="28"/>
      <c r="H25" s="28"/>
      <c r="I25" s="88"/>
      <c r="J25" s="88"/>
      <c r="K25" s="88"/>
      <c r="L25" s="88"/>
      <c r="M25" s="88"/>
      <c r="N25" s="88"/>
      <c r="O25" s="88"/>
      <c r="P25" s="88"/>
      <c r="Q25" s="88"/>
    </row>
    <row r="26">
      <c r="B26" s="16" t="s">
        <v>437</v>
      </c>
      <c r="C26" s="19">
        <v>0.05</v>
      </c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</row>
    <row r="27">
      <c r="B27" s="16" t="s">
        <v>439</v>
      </c>
      <c r="C27" s="19">
        <v>0.06</v>
      </c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</row>
    <row r="28">
      <c r="B28" s="16" t="s">
        <v>441</v>
      </c>
      <c r="C28" s="19">
        <v>0.34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>
      <c r="E29" s="1" t="s">
        <v>451</v>
      </c>
      <c r="F29" s="87"/>
    </row>
    <row r="30">
      <c r="E30" s="87" t="s">
        <v>452</v>
      </c>
      <c r="F30" s="87" t="s">
        <v>453</v>
      </c>
    </row>
    <row r="31">
      <c r="E31" s="87" t="s">
        <v>454</v>
      </c>
      <c r="F31" s="87"/>
    </row>
    <row r="32">
      <c r="E32" s="87" t="s">
        <v>455</v>
      </c>
      <c r="F32" s="89" t="s">
        <v>456</v>
      </c>
    </row>
    <row r="33">
      <c r="E33" s="87" t="s">
        <v>457</v>
      </c>
      <c r="F33" s="89" t="s">
        <v>458</v>
      </c>
    </row>
    <row r="35">
      <c r="B35" s="90"/>
    </row>
  </sheetData>
  <mergeCells count="8">
    <mergeCell ref="B2:C2"/>
    <mergeCell ref="F2:H2"/>
    <mergeCell ref="I2:K2"/>
    <mergeCell ref="L2:N2"/>
    <mergeCell ref="O2:Q2"/>
    <mergeCell ref="B9:C9"/>
    <mergeCell ref="B16:C16"/>
    <mergeCell ref="B23:C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1.13"/>
    <col customWidth="1" min="7" max="7" width="15.13"/>
  </cols>
  <sheetData>
    <row r="2">
      <c r="B2" s="48" t="s">
        <v>459</v>
      </c>
      <c r="C2" s="48" t="s">
        <v>460</v>
      </c>
      <c r="D2" s="48" t="s">
        <v>461</v>
      </c>
      <c r="E2" s="10" t="s">
        <v>462</v>
      </c>
      <c r="G2" s="59"/>
      <c r="H2" s="48" t="s">
        <v>50</v>
      </c>
      <c r="I2" s="48" t="s">
        <v>51</v>
      </c>
      <c r="J2" s="48" t="s">
        <v>52</v>
      </c>
      <c r="K2" s="48" t="s">
        <v>53</v>
      </c>
      <c r="L2" s="48" t="s">
        <v>54</v>
      </c>
      <c r="M2" s="48" t="s">
        <v>55</v>
      </c>
      <c r="N2" s="48" t="s">
        <v>56</v>
      </c>
      <c r="O2" s="48" t="s">
        <v>57</v>
      </c>
      <c r="P2" s="48" t="s">
        <v>58</v>
      </c>
      <c r="Q2" s="48" t="s">
        <v>59</v>
      </c>
      <c r="R2" s="48" t="s">
        <v>60</v>
      </c>
      <c r="S2" s="48" t="s">
        <v>61</v>
      </c>
    </row>
    <row r="3">
      <c r="B3" s="59" t="s">
        <v>463</v>
      </c>
      <c r="C3" s="48">
        <v>2.0</v>
      </c>
      <c r="D3" s="48">
        <v>547.0</v>
      </c>
      <c r="E3" s="56">
        <f t="shared" ref="E3:E8" si="1">D3/C3</f>
        <v>273.5</v>
      </c>
      <c r="G3" s="52" t="s">
        <v>464</v>
      </c>
      <c r="H3" s="91">
        <v>40.0</v>
      </c>
      <c r="I3" s="91">
        <v>80.0</v>
      </c>
      <c r="J3" s="91">
        <v>120.0</v>
      </c>
      <c r="K3" s="91">
        <v>200.0</v>
      </c>
      <c r="L3" s="91">
        <v>250.0</v>
      </c>
      <c r="M3" s="91">
        <v>300.0</v>
      </c>
      <c r="N3" s="91">
        <v>350.0</v>
      </c>
      <c r="O3" s="91">
        <v>400.0</v>
      </c>
      <c r="P3" s="91">
        <v>450.0</v>
      </c>
      <c r="Q3" s="91">
        <v>500.0</v>
      </c>
      <c r="R3" s="91">
        <v>550.0</v>
      </c>
      <c r="S3" s="91">
        <v>600.0</v>
      </c>
    </row>
    <row r="4">
      <c r="B4" s="59" t="s">
        <v>465</v>
      </c>
      <c r="C4" s="48">
        <v>1.0</v>
      </c>
      <c r="D4" s="48">
        <v>197.0</v>
      </c>
      <c r="E4" s="56">
        <f t="shared" si="1"/>
        <v>197</v>
      </c>
      <c r="G4" s="52" t="s">
        <v>466</v>
      </c>
      <c r="H4" s="91">
        <v>160.0</v>
      </c>
      <c r="I4" s="91">
        <v>160.0</v>
      </c>
      <c r="J4" s="91">
        <v>160.0</v>
      </c>
      <c r="K4" s="91">
        <v>160.0</v>
      </c>
      <c r="L4" s="91">
        <v>160.0</v>
      </c>
      <c r="M4" s="91">
        <v>160.0</v>
      </c>
      <c r="N4" s="91">
        <v>160.0</v>
      </c>
      <c r="O4" s="91">
        <v>160.0</v>
      </c>
      <c r="P4" s="91">
        <v>160.0</v>
      </c>
      <c r="Q4" s="91">
        <v>160.0</v>
      </c>
      <c r="R4" s="91">
        <v>160.0</v>
      </c>
      <c r="S4" s="91">
        <v>160.0</v>
      </c>
    </row>
    <row r="5">
      <c r="B5" s="59" t="s">
        <v>467</v>
      </c>
      <c r="C5" s="48">
        <v>3.0</v>
      </c>
      <c r="D5" s="48">
        <v>297.0</v>
      </c>
      <c r="E5" s="56">
        <f t="shared" si="1"/>
        <v>99</v>
      </c>
      <c r="G5" s="16" t="s">
        <v>468</v>
      </c>
      <c r="H5" s="19">
        <v>0.5</v>
      </c>
      <c r="I5" s="19">
        <v>0.5</v>
      </c>
      <c r="J5" s="19">
        <v>0.5</v>
      </c>
      <c r="K5" s="19">
        <v>0.5</v>
      </c>
      <c r="L5" s="19">
        <v>0.5</v>
      </c>
      <c r="M5" s="19">
        <v>0.5</v>
      </c>
      <c r="N5" s="19">
        <v>0.5</v>
      </c>
      <c r="O5" s="19">
        <v>0.5</v>
      </c>
      <c r="P5" s="19">
        <v>0.5</v>
      </c>
      <c r="Q5" s="19">
        <v>0.5</v>
      </c>
      <c r="R5" s="19">
        <v>0.5</v>
      </c>
      <c r="S5" s="19">
        <v>0.5</v>
      </c>
    </row>
    <row r="6">
      <c r="B6" s="59" t="s">
        <v>469</v>
      </c>
      <c r="C6" s="91">
        <v>11.0</v>
      </c>
      <c r="D6" s="91">
        <v>1797.0</v>
      </c>
      <c r="E6" s="49">
        <f t="shared" si="1"/>
        <v>163.3636364</v>
      </c>
      <c r="G6" s="59" t="s">
        <v>470</v>
      </c>
      <c r="H6" s="42">
        <f t="shared" ref="H6:S6" si="2">H3*H4*12*H5</f>
        <v>38400</v>
      </c>
      <c r="I6" s="42">
        <f t="shared" si="2"/>
        <v>76800</v>
      </c>
      <c r="J6" s="42">
        <f t="shared" si="2"/>
        <v>115200</v>
      </c>
      <c r="K6" s="42">
        <f t="shared" si="2"/>
        <v>192000</v>
      </c>
      <c r="L6" s="42">
        <f t="shared" si="2"/>
        <v>240000</v>
      </c>
      <c r="M6" s="42">
        <f t="shared" si="2"/>
        <v>288000</v>
      </c>
      <c r="N6" s="42">
        <f t="shared" si="2"/>
        <v>336000</v>
      </c>
      <c r="O6" s="42">
        <f t="shared" si="2"/>
        <v>384000</v>
      </c>
      <c r="P6" s="42">
        <f t="shared" si="2"/>
        <v>432000</v>
      </c>
      <c r="Q6" s="42">
        <f t="shared" si="2"/>
        <v>480000</v>
      </c>
      <c r="R6" s="42">
        <f t="shared" si="2"/>
        <v>528000</v>
      </c>
      <c r="S6" s="42">
        <f t="shared" si="2"/>
        <v>576000</v>
      </c>
    </row>
    <row r="7">
      <c r="B7" s="59" t="s">
        <v>471</v>
      </c>
      <c r="C7" s="48">
        <v>8.0</v>
      </c>
      <c r="D7" s="91">
        <v>1197.0</v>
      </c>
      <c r="E7" s="56">
        <f t="shared" si="1"/>
        <v>149.625</v>
      </c>
      <c r="G7" s="59" t="s">
        <v>472</v>
      </c>
      <c r="H7" s="42">
        <f t="shared" ref="H7:S7" si="3">H6*0.15</f>
        <v>5760</v>
      </c>
      <c r="I7" s="42">
        <f t="shared" si="3"/>
        <v>11520</v>
      </c>
      <c r="J7" s="42">
        <f t="shared" si="3"/>
        <v>17280</v>
      </c>
      <c r="K7" s="42">
        <f t="shared" si="3"/>
        <v>28800</v>
      </c>
      <c r="L7" s="42">
        <f t="shared" si="3"/>
        <v>36000</v>
      </c>
      <c r="M7" s="42">
        <f t="shared" si="3"/>
        <v>43200</v>
      </c>
      <c r="N7" s="42">
        <f t="shared" si="3"/>
        <v>50400</v>
      </c>
      <c r="O7" s="42">
        <f t="shared" si="3"/>
        <v>57600</v>
      </c>
      <c r="P7" s="42">
        <f t="shared" si="3"/>
        <v>64800</v>
      </c>
      <c r="Q7" s="42">
        <f t="shared" si="3"/>
        <v>72000</v>
      </c>
      <c r="R7" s="42">
        <f t="shared" si="3"/>
        <v>79200</v>
      </c>
      <c r="S7" s="42">
        <f t="shared" si="3"/>
        <v>86400</v>
      </c>
    </row>
    <row r="8">
      <c r="B8" s="16" t="s">
        <v>473</v>
      </c>
      <c r="C8" s="10">
        <v>1.0</v>
      </c>
      <c r="D8" s="10">
        <v>297.0</v>
      </c>
      <c r="E8" s="56">
        <f t="shared" si="1"/>
        <v>297</v>
      </c>
      <c r="G8" s="16" t="s">
        <v>338</v>
      </c>
      <c r="H8" s="23">
        <f t="shared" ref="H8:S8" si="4">H6*0.1</f>
        <v>3840</v>
      </c>
      <c r="I8" s="23">
        <f t="shared" si="4"/>
        <v>7680</v>
      </c>
      <c r="J8" s="23">
        <f t="shared" si="4"/>
        <v>11520</v>
      </c>
      <c r="K8" s="23">
        <f t="shared" si="4"/>
        <v>19200</v>
      </c>
      <c r="L8" s="23">
        <f t="shared" si="4"/>
        <v>24000</v>
      </c>
      <c r="M8" s="23">
        <f t="shared" si="4"/>
        <v>28800</v>
      </c>
      <c r="N8" s="23">
        <f t="shared" si="4"/>
        <v>33600</v>
      </c>
      <c r="O8" s="23">
        <f t="shared" si="4"/>
        <v>38400</v>
      </c>
      <c r="P8" s="23">
        <f t="shared" si="4"/>
        <v>43200</v>
      </c>
      <c r="Q8" s="23">
        <f t="shared" si="4"/>
        <v>48000</v>
      </c>
      <c r="R8" s="23">
        <f t="shared" si="4"/>
        <v>52800</v>
      </c>
      <c r="S8" s="23">
        <f t="shared" si="4"/>
        <v>57600</v>
      </c>
    </row>
    <row r="9">
      <c r="G9" s="59" t="s">
        <v>70</v>
      </c>
      <c r="H9" s="42">
        <f t="shared" ref="H9:S9" si="5">H6-H7-H8</f>
        <v>28800</v>
      </c>
      <c r="I9" s="42">
        <f t="shared" si="5"/>
        <v>57600</v>
      </c>
      <c r="J9" s="42">
        <f t="shared" si="5"/>
        <v>86400</v>
      </c>
      <c r="K9" s="42">
        <f t="shared" si="5"/>
        <v>144000</v>
      </c>
      <c r="L9" s="42">
        <f t="shared" si="5"/>
        <v>180000</v>
      </c>
      <c r="M9" s="42">
        <f t="shared" si="5"/>
        <v>216000</v>
      </c>
      <c r="N9" s="42">
        <f t="shared" si="5"/>
        <v>252000</v>
      </c>
      <c r="O9" s="42">
        <f t="shared" si="5"/>
        <v>288000</v>
      </c>
      <c r="P9" s="42">
        <f t="shared" si="5"/>
        <v>324000</v>
      </c>
      <c r="Q9" s="42">
        <f t="shared" si="5"/>
        <v>360000</v>
      </c>
      <c r="R9" s="42">
        <f t="shared" si="5"/>
        <v>396000</v>
      </c>
      <c r="S9" s="42">
        <f t="shared" si="5"/>
        <v>432000</v>
      </c>
    </row>
    <row r="10">
      <c r="B10" s="16" t="s">
        <v>474</v>
      </c>
      <c r="C10" s="30">
        <f t="shared" ref="C10:E10" si="6">AVERAGE(C3:C8)</f>
        <v>4.333333333</v>
      </c>
      <c r="D10" s="30">
        <f t="shared" si="6"/>
        <v>722</v>
      </c>
      <c r="E10" s="30">
        <f t="shared" si="6"/>
        <v>196.5814394</v>
      </c>
      <c r="G10" s="59" t="s">
        <v>475</v>
      </c>
      <c r="H10" s="42">
        <f t="shared" ref="H10:S10" si="7">50*H3</f>
        <v>2000</v>
      </c>
      <c r="I10" s="42">
        <f t="shared" si="7"/>
        <v>4000</v>
      </c>
      <c r="J10" s="42">
        <f t="shared" si="7"/>
        <v>6000</v>
      </c>
      <c r="K10" s="42">
        <f t="shared" si="7"/>
        <v>10000</v>
      </c>
      <c r="L10" s="42">
        <f t="shared" si="7"/>
        <v>12500</v>
      </c>
      <c r="M10" s="42">
        <f t="shared" si="7"/>
        <v>15000</v>
      </c>
      <c r="N10" s="42">
        <f t="shared" si="7"/>
        <v>17500</v>
      </c>
      <c r="O10" s="42">
        <f t="shared" si="7"/>
        <v>20000</v>
      </c>
      <c r="P10" s="42">
        <f t="shared" si="7"/>
        <v>22500</v>
      </c>
      <c r="Q10" s="42">
        <f t="shared" si="7"/>
        <v>25000</v>
      </c>
      <c r="R10" s="42">
        <f t="shared" si="7"/>
        <v>27500</v>
      </c>
      <c r="S10" s="42">
        <f t="shared" si="7"/>
        <v>30000</v>
      </c>
    </row>
    <row r="11">
      <c r="G11" s="59" t="s">
        <v>72</v>
      </c>
      <c r="H11" s="42">
        <f t="shared" ref="H11:S11" si="8">H9-H10</f>
        <v>26800</v>
      </c>
      <c r="I11" s="42">
        <f t="shared" si="8"/>
        <v>53600</v>
      </c>
      <c r="J11" s="42">
        <f t="shared" si="8"/>
        <v>80400</v>
      </c>
      <c r="K11" s="42">
        <f t="shared" si="8"/>
        <v>134000</v>
      </c>
      <c r="L11" s="42">
        <f t="shared" si="8"/>
        <v>167500</v>
      </c>
      <c r="M11" s="42">
        <f t="shared" si="8"/>
        <v>201000</v>
      </c>
      <c r="N11" s="42">
        <f t="shared" si="8"/>
        <v>234500</v>
      </c>
      <c r="O11" s="42">
        <f t="shared" si="8"/>
        <v>268000</v>
      </c>
      <c r="P11" s="42">
        <f t="shared" si="8"/>
        <v>301500</v>
      </c>
      <c r="Q11" s="42">
        <f t="shared" si="8"/>
        <v>335000</v>
      </c>
      <c r="R11" s="42">
        <f t="shared" si="8"/>
        <v>368500</v>
      </c>
      <c r="S11" s="42">
        <f t="shared" si="8"/>
        <v>402000</v>
      </c>
    </row>
    <row r="12">
      <c r="G12" s="52" t="s">
        <v>476</v>
      </c>
      <c r="H12" s="50">
        <v>2400.0</v>
      </c>
      <c r="I12" s="50">
        <v>2400.0</v>
      </c>
      <c r="J12" s="50">
        <v>2400.0</v>
      </c>
      <c r="K12" s="50">
        <v>5400.0</v>
      </c>
      <c r="L12" s="50">
        <v>5400.0</v>
      </c>
      <c r="M12" s="50">
        <v>5400.0</v>
      </c>
      <c r="N12" s="50">
        <v>6400.0</v>
      </c>
      <c r="O12" s="50">
        <v>6400.0</v>
      </c>
      <c r="P12" s="50">
        <v>6400.0</v>
      </c>
      <c r="Q12" s="50">
        <v>8400.0</v>
      </c>
      <c r="R12" s="50">
        <v>8400.0</v>
      </c>
      <c r="S12" s="50">
        <v>8400.0</v>
      </c>
    </row>
    <row r="13">
      <c r="G13" s="59" t="s">
        <v>77</v>
      </c>
      <c r="H13" s="42">
        <f>((I3-H3)*1500)/12</f>
        <v>5000</v>
      </c>
      <c r="I13" s="42">
        <f>(((I3-H3)*1500)/12)+((J3-I3)*1500)/12</f>
        <v>10000</v>
      </c>
      <c r="J13" s="42">
        <f>(((I3-H3)*1500)/12)+((J3-I3)*1500)/12+((K3-J3)*1500)/12</f>
        <v>20000</v>
      </c>
      <c r="K13" s="42">
        <f>(((I3-H3)*1500)/12)+((J3-I3)*1500)/12+((K3-J3)*1500)/12+((L3-K3)*1500)/12</f>
        <v>26250</v>
      </c>
      <c r="L13" s="42">
        <f>(((I3-H3)*1500)/12)+((J3-I3)*1500)/12+((K3-J3)*1500)/12+((L3-K3)*1500)/12+((M3-L3)*1500)/12</f>
        <v>32500</v>
      </c>
      <c r="M13" s="42">
        <f>(((I3-H3)*1500)/12)+((J3-I3)*1500)/12+((K3-J3)*1500)/12+((L3-K3)*1500)/12+((M3-L3)*1500)/12+((N3-M3)*1500)/12</f>
        <v>38750</v>
      </c>
      <c r="N13" s="42">
        <f>(((I3-H3)*1500)/12)+((J3-I3)*1500)/12+((K3-J3)*1500)/12+((L3-K3)*1500)/12+((M3-L3)*1500)/12+((N3-M3)*1500)/12+((O3-N3)*1500)/12</f>
        <v>45000</v>
      </c>
      <c r="O13" s="42">
        <f>(((I3-H3)*1500)/12)+((J3-I3)*1500)/12+((K3-J3)*1500)/12+((L3-K3)*1500)/12+((M3-L3)*1500)/12+((N3-M3)*1500)/12+((O3-N3)*1500)/12+((P3-O3)*1500)/12</f>
        <v>51250</v>
      </c>
      <c r="P13" s="42">
        <f>((((I3-H3)*1500)/12)+((J3-I3)*1500)/12+((K3-J3)*1500)/12+((L3-K3)*1500)/12+((M3-L3)*1500)/12+((N3-M3)*1500)/12+((O3-N3)*1500)/12+((P3-O3)*1500)/12+((Q3-P3)*1500)/12)</f>
        <v>57500</v>
      </c>
      <c r="Q13" s="42">
        <f>((((I3-H3)*1500)/12)+((J3-I3)*1500)/12+((K3-J3)*1500)/12+((L3-K3)*1500)/12+((M3-L3)*1500)/12+((N3-M3)*1500)/12+((O3-N3)*1500)/12+((P3-O3)*1500)/12+((Q3-P3)*1500)/12)+((R3-Q3)*1500)/12</f>
        <v>63750</v>
      </c>
      <c r="R13" s="42">
        <f>((((I3-H3)*1500)/12)+((J3-I3)*1500)/12+((K3-J3)*1500)/12+((L3-K3)*1500)/12+((M3-L3)*1500)/12+((N3-M3)*1500)/12+((O3-N3)*1500)/12+((P3-O3)*1500)/12+((Q3-P3)*1500)/12)+((R3-Q3)*1500)/12+((S3-R3)*1500)/12</f>
        <v>70000</v>
      </c>
      <c r="S13" s="42">
        <f>((((I3-H3)*1500)/12)+((J3-I3)*1500)/12+((K3-J3)*1500)/12+((L3-K3)*1500)/12+((M3-L3)*1500)/12+((N3-M3)*1500)/12+((O3-N3)*1500)/12+((P3-O3)*1500)/12+((Q3-P3)*1500)/12)+((R3-Q3)*1500)/12+((S3-R3)*1500)/12</f>
        <v>70000</v>
      </c>
    </row>
    <row r="14">
      <c r="G14" s="59" t="s">
        <v>477</v>
      </c>
      <c r="H14" s="42">
        <f t="shared" ref="H14:S14" si="9">H11-H12-H13</f>
        <v>19400</v>
      </c>
      <c r="I14" s="42">
        <f t="shared" si="9"/>
        <v>41200</v>
      </c>
      <c r="J14" s="42">
        <f t="shared" si="9"/>
        <v>58000</v>
      </c>
      <c r="K14" s="42">
        <f t="shared" si="9"/>
        <v>102350</v>
      </c>
      <c r="L14" s="42">
        <f t="shared" si="9"/>
        <v>129600</v>
      </c>
      <c r="M14" s="42">
        <f t="shared" si="9"/>
        <v>156850</v>
      </c>
      <c r="N14" s="42">
        <f t="shared" si="9"/>
        <v>183100</v>
      </c>
      <c r="O14" s="42">
        <f t="shared" si="9"/>
        <v>210350</v>
      </c>
      <c r="P14" s="42">
        <f t="shared" si="9"/>
        <v>237600</v>
      </c>
      <c r="Q14" s="42">
        <f t="shared" si="9"/>
        <v>262850</v>
      </c>
      <c r="R14" s="42">
        <f t="shared" si="9"/>
        <v>290100</v>
      </c>
      <c r="S14" s="42">
        <f t="shared" si="9"/>
        <v>323600</v>
      </c>
    </row>
    <row r="15">
      <c r="G15" s="5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</row>
    <row r="16">
      <c r="G16" s="59" t="s">
        <v>478</v>
      </c>
      <c r="H16" s="48">
        <f t="shared" ref="H16:S16" si="10">H3</f>
        <v>40</v>
      </c>
      <c r="I16" s="48">
        <f t="shared" si="10"/>
        <v>80</v>
      </c>
      <c r="J16" s="48">
        <f t="shared" si="10"/>
        <v>120</v>
      </c>
      <c r="K16" s="48">
        <f t="shared" si="10"/>
        <v>200</v>
      </c>
      <c r="L16" s="48">
        <f t="shared" si="10"/>
        <v>250</v>
      </c>
      <c r="M16" s="48">
        <f t="shared" si="10"/>
        <v>300</v>
      </c>
      <c r="N16" s="48">
        <f t="shared" si="10"/>
        <v>350</v>
      </c>
      <c r="O16" s="48">
        <f t="shared" si="10"/>
        <v>400</v>
      </c>
      <c r="P16" s="48">
        <f t="shared" si="10"/>
        <v>450</v>
      </c>
      <c r="Q16" s="48">
        <f t="shared" si="10"/>
        <v>500</v>
      </c>
      <c r="R16" s="48">
        <f t="shared" si="10"/>
        <v>550</v>
      </c>
      <c r="S16" s="48">
        <f t="shared" si="10"/>
        <v>600</v>
      </c>
    </row>
    <row r="17">
      <c r="G17" s="59" t="s">
        <v>479</v>
      </c>
      <c r="H17" s="93">
        <f t="shared" ref="H17:S17" si="11">H16*12*H5</f>
        <v>240</v>
      </c>
      <c r="I17" s="93">
        <f t="shared" si="11"/>
        <v>480</v>
      </c>
      <c r="J17" s="93">
        <f t="shared" si="11"/>
        <v>720</v>
      </c>
      <c r="K17" s="93">
        <f t="shared" si="11"/>
        <v>1200</v>
      </c>
      <c r="L17" s="93">
        <f t="shared" si="11"/>
        <v>1500</v>
      </c>
      <c r="M17" s="93">
        <f t="shared" si="11"/>
        <v>1800</v>
      </c>
      <c r="N17" s="93">
        <f t="shared" si="11"/>
        <v>2100</v>
      </c>
      <c r="O17" s="93">
        <f t="shared" si="11"/>
        <v>2400</v>
      </c>
      <c r="P17" s="93">
        <f t="shared" si="11"/>
        <v>2700</v>
      </c>
      <c r="Q17" s="93">
        <f t="shared" si="11"/>
        <v>3000</v>
      </c>
      <c r="R17" s="93">
        <f t="shared" si="11"/>
        <v>3300</v>
      </c>
      <c r="S17" s="93">
        <f t="shared" si="11"/>
        <v>3600</v>
      </c>
    </row>
    <row r="18">
      <c r="G18" s="59" t="s">
        <v>480</v>
      </c>
      <c r="H18" s="94">
        <f t="shared" ref="H18:S18" si="12">H17/4</f>
        <v>60</v>
      </c>
      <c r="I18" s="94">
        <f t="shared" si="12"/>
        <v>120</v>
      </c>
      <c r="J18" s="94">
        <f t="shared" si="12"/>
        <v>180</v>
      </c>
      <c r="K18" s="94">
        <f t="shared" si="12"/>
        <v>300</v>
      </c>
      <c r="L18" s="94">
        <f t="shared" si="12"/>
        <v>375</v>
      </c>
      <c r="M18" s="94">
        <f t="shared" si="12"/>
        <v>450</v>
      </c>
      <c r="N18" s="94">
        <f t="shared" si="12"/>
        <v>525</v>
      </c>
      <c r="O18" s="94">
        <f t="shared" si="12"/>
        <v>600</v>
      </c>
      <c r="P18" s="94">
        <f t="shared" si="12"/>
        <v>675</v>
      </c>
      <c r="Q18" s="94">
        <f t="shared" si="12"/>
        <v>750</v>
      </c>
      <c r="R18" s="94">
        <f t="shared" si="12"/>
        <v>825</v>
      </c>
      <c r="S18" s="94">
        <f t="shared" si="12"/>
        <v>900</v>
      </c>
    </row>
    <row r="19">
      <c r="G19" s="5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</row>
    <row r="20">
      <c r="G20" s="59" t="s">
        <v>481</v>
      </c>
      <c r="H20" s="42">
        <f t="shared" ref="H20:S20" si="13">H6/H18</f>
        <v>640</v>
      </c>
      <c r="I20" s="42">
        <f t="shared" si="13"/>
        <v>640</v>
      </c>
      <c r="J20" s="42">
        <f t="shared" si="13"/>
        <v>640</v>
      </c>
      <c r="K20" s="42">
        <f t="shared" si="13"/>
        <v>640</v>
      </c>
      <c r="L20" s="42">
        <f t="shared" si="13"/>
        <v>640</v>
      </c>
      <c r="M20" s="42">
        <f t="shared" si="13"/>
        <v>640</v>
      </c>
      <c r="N20" s="42">
        <f t="shared" si="13"/>
        <v>640</v>
      </c>
      <c r="O20" s="42">
        <f t="shared" si="13"/>
        <v>640</v>
      </c>
      <c r="P20" s="42">
        <f t="shared" si="13"/>
        <v>640</v>
      </c>
      <c r="Q20" s="42">
        <f t="shared" si="13"/>
        <v>640</v>
      </c>
      <c r="R20" s="42">
        <f t="shared" si="13"/>
        <v>640</v>
      </c>
      <c r="S20" s="42">
        <f t="shared" si="13"/>
        <v>640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4.13"/>
  </cols>
  <sheetData>
    <row r="1">
      <c r="A1" s="12"/>
      <c r="B1" s="12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2"/>
      <c r="C2" s="17" t="s">
        <v>50</v>
      </c>
      <c r="D2" s="17" t="s">
        <v>482</v>
      </c>
      <c r="E2" s="17" t="s">
        <v>52</v>
      </c>
      <c r="F2" s="17" t="s">
        <v>483</v>
      </c>
      <c r="G2" s="17" t="s">
        <v>484</v>
      </c>
      <c r="H2" s="17" t="s">
        <v>485</v>
      </c>
      <c r="I2" s="17" t="s">
        <v>486</v>
      </c>
      <c r="J2" s="17" t="s">
        <v>487</v>
      </c>
      <c r="K2" s="17" t="s">
        <v>488</v>
      </c>
      <c r="L2" s="17" t="s">
        <v>489</v>
      </c>
      <c r="M2" s="17" t="s">
        <v>490</v>
      </c>
      <c r="N2" s="17" t="s">
        <v>491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B3" s="9" t="s">
        <v>492</v>
      </c>
      <c r="C3" s="24">
        <v>12000.0</v>
      </c>
      <c r="D3" s="24">
        <v>12000.0</v>
      </c>
      <c r="E3" s="24">
        <v>12000.0</v>
      </c>
      <c r="F3" s="24">
        <v>12000.0</v>
      </c>
      <c r="G3" s="24">
        <v>12000.0</v>
      </c>
      <c r="H3" s="24">
        <v>12000.0</v>
      </c>
      <c r="I3" s="24">
        <v>15000.0</v>
      </c>
      <c r="J3" s="24">
        <v>15000.0</v>
      </c>
      <c r="K3" s="24">
        <v>15000.0</v>
      </c>
      <c r="L3" s="24">
        <v>15000.0</v>
      </c>
      <c r="M3" s="24">
        <v>15000.0</v>
      </c>
      <c r="N3" s="24">
        <v>15000.0</v>
      </c>
    </row>
    <row r="4">
      <c r="B4" s="9" t="s">
        <v>493</v>
      </c>
      <c r="C4" s="24">
        <v>3500.0</v>
      </c>
      <c r="D4" s="24">
        <v>3500.0</v>
      </c>
      <c r="E4" s="24">
        <v>3500.0</v>
      </c>
      <c r="F4" s="24">
        <v>3500.0</v>
      </c>
      <c r="G4" s="24">
        <v>3500.0</v>
      </c>
      <c r="H4" s="24">
        <v>3500.0</v>
      </c>
      <c r="I4" s="24">
        <v>3500.0</v>
      </c>
      <c r="J4" s="24">
        <v>3500.0</v>
      </c>
      <c r="K4" s="24">
        <v>3500.0</v>
      </c>
      <c r="L4" s="24">
        <v>3500.0</v>
      </c>
      <c r="M4" s="24">
        <v>3500.0</v>
      </c>
      <c r="N4" s="24">
        <v>3500.0</v>
      </c>
    </row>
    <row r="5">
      <c r="B5" s="9" t="s">
        <v>494</v>
      </c>
      <c r="C5" s="24">
        <v>2000.0</v>
      </c>
      <c r="D5" s="24">
        <v>2000.0</v>
      </c>
      <c r="E5" s="24">
        <v>2000.0</v>
      </c>
      <c r="F5" s="24">
        <v>2000.0</v>
      </c>
      <c r="G5" s="24">
        <v>2000.0</v>
      </c>
      <c r="H5" s="24">
        <v>2000.0</v>
      </c>
      <c r="I5" s="24">
        <v>2000.0</v>
      </c>
      <c r="J5" s="24">
        <v>2000.0</v>
      </c>
      <c r="K5" s="24">
        <v>2000.0</v>
      </c>
      <c r="L5" s="24">
        <v>2000.0</v>
      </c>
      <c r="M5" s="24">
        <v>2000.0</v>
      </c>
      <c r="N5" s="24">
        <v>2000.0</v>
      </c>
    </row>
    <row r="6">
      <c r="B6" s="9" t="s">
        <v>495</v>
      </c>
      <c r="C6" s="24">
        <v>5000.0</v>
      </c>
      <c r="D6" s="24">
        <v>5000.0</v>
      </c>
      <c r="E6" s="24">
        <v>5000.0</v>
      </c>
      <c r="F6" s="24">
        <v>5000.0</v>
      </c>
      <c r="G6" s="24">
        <v>5000.0</v>
      </c>
      <c r="H6" s="24">
        <v>5000.0</v>
      </c>
      <c r="I6" s="24">
        <v>6500.0</v>
      </c>
      <c r="J6" s="24">
        <v>6500.0</v>
      </c>
      <c r="K6" s="24">
        <v>6500.0</v>
      </c>
      <c r="L6" s="24">
        <v>6500.0</v>
      </c>
      <c r="M6" s="24">
        <v>6500.0</v>
      </c>
      <c r="N6" s="24">
        <v>6500.0</v>
      </c>
    </row>
    <row r="7">
      <c r="B7" s="9" t="s">
        <v>496</v>
      </c>
      <c r="C7" s="24">
        <v>1000.0</v>
      </c>
      <c r="D7" s="24">
        <v>1000.0</v>
      </c>
      <c r="E7" s="24">
        <v>1000.0</v>
      </c>
      <c r="F7" s="24">
        <v>2000.0</v>
      </c>
      <c r="G7" s="24">
        <v>2000.0</v>
      </c>
      <c r="H7" s="24">
        <v>2000.0</v>
      </c>
      <c r="I7" s="24">
        <v>3000.0</v>
      </c>
      <c r="J7" s="24">
        <v>3000.0</v>
      </c>
      <c r="K7" s="24">
        <v>3000.0</v>
      </c>
      <c r="L7" s="24">
        <v>4000.0</v>
      </c>
      <c r="M7" s="24">
        <v>4000.0</v>
      </c>
      <c r="N7" s="24">
        <v>4000.0</v>
      </c>
    </row>
    <row r="8">
      <c r="B8" s="9" t="s">
        <v>497</v>
      </c>
      <c r="C8" s="24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</row>
    <row r="9">
      <c r="B9" s="9" t="s">
        <v>498</v>
      </c>
      <c r="C9" s="24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</row>
    <row r="10">
      <c r="B10" s="9" t="s">
        <v>499</v>
      </c>
      <c r="C10" s="24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</row>
    <row r="11">
      <c r="B11" s="9" t="s">
        <v>500</v>
      </c>
      <c r="C11" s="24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</row>
    <row r="12">
      <c r="B12" s="9" t="s">
        <v>501</v>
      </c>
      <c r="C12" s="24">
        <v>5000.0</v>
      </c>
      <c r="D12" s="24">
        <f t="shared" ref="D12:H12" si="1">C12*120%</f>
        <v>6000</v>
      </c>
      <c r="E12" s="24">
        <f t="shared" si="1"/>
        <v>7200</v>
      </c>
      <c r="F12" s="24">
        <f t="shared" si="1"/>
        <v>8640</v>
      </c>
      <c r="G12" s="24">
        <f t="shared" si="1"/>
        <v>10368</v>
      </c>
      <c r="H12" s="24">
        <f t="shared" si="1"/>
        <v>12441.6</v>
      </c>
      <c r="I12" s="24">
        <f t="shared" ref="I12:N12" si="2">H12*130%</f>
        <v>16174.08</v>
      </c>
      <c r="J12" s="24">
        <f t="shared" si="2"/>
        <v>21026.304</v>
      </c>
      <c r="K12" s="24">
        <f t="shared" si="2"/>
        <v>27334.1952</v>
      </c>
      <c r="L12" s="24">
        <f t="shared" si="2"/>
        <v>35534.45376</v>
      </c>
      <c r="M12" s="24">
        <f t="shared" si="2"/>
        <v>46194.78989</v>
      </c>
      <c r="N12" s="24">
        <f t="shared" si="2"/>
        <v>60053.22685</v>
      </c>
      <c r="O12" s="18"/>
    </row>
    <row r="13">
      <c r="B13" s="9" t="s">
        <v>502</v>
      </c>
      <c r="C13" s="24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</row>
    <row r="14">
      <c r="B14" s="96" t="s">
        <v>503</v>
      </c>
      <c r="C14" s="97">
        <f t="shared" ref="C14:N14" si="3">sum(C3:C11)</f>
        <v>23500</v>
      </c>
      <c r="D14" s="97">
        <f t="shared" si="3"/>
        <v>23500</v>
      </c>
      <c r="E14" s="97">
        <f t="shared" si="3"/>
        <v>23500</v>
      </c>
      <c r="F14" s="97">
        <f t="shared" si="3"/>
        <v>24500</v>
      </c>
      <c r="G14" s="97">
        <f t="shared" si="3"/>
        <v>24500</v>
      </c>
      <c r="H14" s="97">
        <f t="shared" si="3"/>
        <v>24500</v>
      </c>
      <c r="I14" s="97">
        <f t="shared" si="3"/>
        <v>30000</v>
      </c>
      <c r="J14" s="97">
        <f t="shared" si="3"/>
        <v>30000</v>
      </c>
      <c r="K14" s="97">
        <f t="shared" si="3"/>
        <v>30000</v>
      </c>
      <c r="L14" s="97">
        <f t="shared" si="3"/>
        <v>31000</v>
      </c>
      <c r="M14" s="97">
        <f t="shared" si="3"/>
        <v>31000</v>
      </c>
      <c r="N14" s="97">
        <f t="shared" si="3"/>
        <v>31000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6.25"/>
  </cols>
  <sheetData>
    <row r="2">
      <c r="B2" s="17" t="s">
        <v>504</v>
      </c>
      <c r="C2" s="24">
        <v>100000.0</v>
      </c>
      <c r="D2" s="98" t="s">
        <v>505</v>
      </c>
      <c r="E2" s="98" t="s">
        <v>506</v>
      </c>
      <c r="F2" s="99"/>
    </row>
    <row r="3">
      <c r="B3" s="17" t="s">
        <v>507</v>
      </c>
      <c r="C3" s="24">
        <v>300000.0</v>
      </c>
      <c r="D3" s="98" t="s">
        <v>508</v>
      </c>
      <c r="E3" s="99"/>
      <c r="F3" s="99"/>
    </row>
    <row r="4">
      <c r="B4" s="17" t="s">
        <v>509</v>
      </c>
      <c r="C4" s="24">
        <v>200000.0</v>
      </c>
      <c r="D4" s="98" t="s">
        <v>510</v>
      </c>
      <c r="E4" s="99"/>
      <c r="F4" s="99"/>
    </row>
    <row r="5">
      <c r="B5" s="17" t="s">
        <v>511</v>
      </c>
      <c r="C5" s="24">
        <v>15000.0</v>
      </c>
      <c r="D5" s="98" t="s">
        <v>512</v>
      </c>
      <c r="E5" s="99"/>
      <c r="F5" s="98" t="s">
        <v>513</v>
      </c>
    </row>
    <row r="6">
      <c r="B6" s="17" t="s">
        <v>514</v>
      </c>
      <c r="C6" s="24">
        <v>30000.0</v>
      </c>
      <c r="D6" s="98" t="s">
        <v>515</v>
      </c>
      <c r="E6" s="98" t="s">
        <v>516</v>
      </c>
      <c r="F6" s="99"/>
    </row>
    <row r="7">
      <c r="B7" s="17" t="s">
        <v>517</v>
      </c>
      <c r="C7" s="24">
        <v>30000.0</v>
      </c>
      <c r="D7" s="98" t="s">
        <v>518</v>
      </c>
      <c r="E7" s="99"/>
      <c r="F7" s="98" t="s">
        <v>519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1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5"/>
      <c r="B2" s="78"/>
      <c r="C2" s="78"/>
      <c r="D2" s="78"/>
      <c r="E2" s="78"/>
      <c r="F2" s="61" t="s">
        <v>50</v>
      </c>
      <c r="G2" s="61" t="s">
        <v>482</v>
      </c>
      <c r="H2" s="61" t="s">
        <v>520</v>
      </c>
      <c r="I2" s="61" t="s">
        <v>483</v>
      </c>
      <c r="J2" s="61" t="s">
        <v>484</v>
      </c>
      <c r="K2" s="61" t="s">
        <v>485</v>
      </c>
      <c r="L2" s="61" t="s">
        <v>486</v>
      </c>
      <c r="M2" s="61" t="s">
        <v>487</v>
      </c>
      <c r="N2" s="61" t="s">
        <v>488</v>
      </c>
      <c r="O2" s="61" t="s">
        <v>489</v>
      </c>
      <c r="P2" s="61" t="s">
        <v>490</v>
      </c>
      <c r="Q2" s="61" t="s">
        <v>491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5"/>
      <c r="B3" s="100" t="s">
        <v>419</v>
      </c>
      <c r="C3" s="101" t="s">
        <v>521</v>
      </c>
      <c r="D3" s="102" t="s">
        <v>522</v>
      </c>
      <c r="E3" s="102">
        <v>900000.0</v>
      </c>
      <c r="F3" s="101">
        <f t="shared" ref="F3:Q3" si="1">E3+F12+F10</f>
        <v>1028000</v>
      </c>
      <c r="G3" s="101">
        <f t="shared" si="1"/>
        <v>1145760</v>
      </c>
      <c r="H3" s="101">
        <f t="shared" si="1"/>
        <v>1254099.2</v>
      </c>
      <c r="I3" s="101">
        <f t="shared" si="1"/>
        <v>1373771.264</v>
      </c>
      <c r="J3" s="101">
        <f t="shared" si="1"/>
        <v>1483869.563</v>
      </c>
      <c r="K3" s="101">
        <f t="shared" si="1"/>
        <v>1585159.998</v>
      </c>
      <c r="L3" s="101">
        <f t="shared" si="1"/>
        <v>1698347.198</v>
      </c>
      <c r="M3" s="101">
        <f t="shared" si="1"/>
        <v>1802479.422</v>
      </c>
      <c r="N3" s="101">
        <f t="shared" si="1"/>
        <v>1898281.068</v>
      </c>
      <c r="O3" s="101">
        <f t="shared" si="1"/>
        <v>2006418.583</v>
      </c>
      <c r="P3" s="101">
        <f t="shared" si="1"/>
        <v>2105905.096</v>
      </c>
      <c r="Q3" s="101">
        <f t="shared" si="1"/>
        <v>2197432.689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5"/>
      <c r="B4" s="103" t="s">
        <v>523</v>
      </c>
      <c r="C4" s="104">
        <f t="shared" ref="C4:C9" si="3">E4/D4</f>
        <v>2529.411765</v>
      </c>
      <c r="D4" s="105">
        <v>170.0</v>
      </c>
      <c r="E4" s="105">
        <v>430000.0</v>
      </c>
      <c r="F4" s="104">
        <f t="shared" ref="F4:Q4" si="2">E4*(1-$F86)+F13</f>
        <v>469600</v>
      </c>
      <c r="G4" s="104">
        <f t="shared" si="2"/>
        <v>506032</v>
      </c>
      <c r="H4" s="104">
        <f t="shared" si="2"/>
        <v>539549.44</v>
      </c>
      <c r="I4" s="104">
        <f t="shared" si="2"/>
        <v>577785.4848</v>
      </c>
      <c r="J4" s="104">
        <f t="shared" si="2"/>
        <v>612962.646</v>
      </c>
      <c r="K4" s="104">
        <f t="shared" si="2"/>
        <v>645325.6343</v>
      </c>
      <c r="L4" s="104">
        <f t="shared" si="2"/>
        <v>682499.5836</v>
      </c>
      <c r="M4" s="104">
        <f t="shared" si="2"/>
        <v>716699.6169</v>
      </c>
      <c r="N4" s="104">
        <f t="shared" si="2"/>
        <v>748163.6475</v>
      </c>
      <c r="O4" s="104">
        <f t="shared" si="2"/>
        <v>784510.5557</v>
      </c>
      <c r="P4" s="104">
        <f t="shared" si="2"/>
        <v>817949.7113</v>
      </c>
      <c r="Q4" s="104">
        <f t="shared" si="2"/>
        <v>848713.7344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5"/>
      <c r="B5" s="103" t="s">
        <v>524</v>
      </c>
      <c r="C5" s="104">
        <f t="shared" si="3"/>
        <v>3468.085106</v>
      </c>
      <c r="D5" s="105">
        <v>47.0</v>
      </c>
      <c r="E5" s="105">
        <v>163000.0</v>
      </c>
      <c r="F5" s="104">
        <f t="shared" ref="F5:Q5" si="4">E5*(1-$F87)+F14</f>
        <v>212694.2624</v>
      </c>
      <c r="G5" s="104">
        <f t="shared" si="4"/>
        <v>258412.9838</v>
      </c>
      <c r="H5" s="104">
        <f t="shared" si="4"/>
        <v>300474.2074</v>
      </c>
      <c r="I5" s="104">
        <f t="shared" si="4"/>
        <v>345443.9595</v>
      </c>
      <c r="J5" s="104">
        <f t="shared" si="4"/>
        <v>386816.1313</v>
      </c>
      <c r="K5" s="104">
        <f t="shared" si="4"/>
        <v>424878.5294</v>
      </c>
      <c r="L5" s="104">
        <f t="shared" si="4"/>
        <v>466169.3619</v>
      </c>
      <c r="M5" s="104">
        <f t="shared" si="4"/>
        <v>504156.9278</v>
      </c>
      <c r="N5" s="104">
        <f t="shared" si="4"/>
        <v>539105.4884</v>
      </c>
      <c r="O5" s="104">
        <f t="shared" si="4"/>
        <v>577531.5905</v>
      </c>
      <c r="P5" s="104">
        <f t="shared" si="4"/>
        <v>612883.6043</v>
      </c>
      <c r="Q5" s="104">
        <f t="shared" si="4"/>
        <v>645407.4571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5"/>
      <c r="B6" s="103" t="s">
        <v>525</v>
      </c>
      <c r="C6" s="104">
        <f t="shared" si="3"/>
        <v>2028.571429</v>
      </c>
      <c r="D6" s="105">
        <v>70.0</v>
      </c>
      <c r="E6" s="105">
        <v>142000.0</v>
      </c>
      <c r="F6" s="104">
        <f t="shared" ref="F6:Q6" si="5">E6*(1-$F88)+F15</f>
        <v>169699.337</v>
      </c>
      <c r="G6" s="104">
        <f t="shared" si="5"/>
        <v>195182.7271</v>
      </c>
      <c r="H6" s="104">
        <f t="shared" si="5"/>
        <v>218627.446</v>
      </c>
      <c r="I6" s="104">
        <f t="shared" si="5"/>
        <v>244102.5211</v>
      </c>
      <c r="J6" s="104">
        <f t="shared" si="5"/>
        <v>267539.5901</v>
      </c>
      <c r="K6" s="104">
        <f t="shared" si="5"/>
        <v>289101.6937</v>
      </c>
      <c r="L6" s="104">
        <f t="shared" si="5"/>
        <v>312844.7626</v>
      </c>
      <c r="M6" s="104">
        <f t="shared" si="5"/>
        <v>334688.3861</v>
      </c>
      <c r="N6" s="104">
        <f t="shared" si="5"/>
        <v>354784.5196</v>
      </c>
      <c r="O6" s="104">
        <f t="shared" si="5"/>
        <v>377178.8962</v>
      </c>
      <c r="P6" s="104">
        <f t="shared" si="5"/>
        <v>397781.7227</v>
      </c>
      <c r="Q6" s="104">
        <f t="shared" si="5"/>
        <v>416736.323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5"/>
      <c r="B7" s="103" t="s">
        <v>526</v>
      </c>
      <c r="C7" s="104">
        <f t="shared" si="3"/>
        <v>5363.636364</v>
      </c>
      <c r="D7" s="105">
        <v>11.0</v>
      </c>
      <c r="E7" s="105">
        <v>59000.0</v>
      </c>
      <c r="F7" s="104">
        <f t="shared" ref="F7:Q7" si="6">E7*(1-$F89)+F16</f>
        <v>63311.06059</v>
      </c>
      <c r="G7" s="104">
        <f t="shared" si="6"/>
        <v>67277.23633</v>
      </c>
      <c r="H7" s="104">
        <f t="shared" si="6"/>
        <v>70926.11801</v>
      </c>
      <c r="I7" s="104">
        <f t="shared" si="6"/>
        <v>75186.19522</v>
      </c>
      <c r="J7" s="104">
        <f t="shared" si="6"/>
        <v>79105.46625</v>
      </c>
      <c r="K7" s="104">
        <f t="shared" si="6"/>
        <v>82711.19559</v>
      </c>
      <c r="L7" s="104">
        <f t="shared" si="6"/>
        <v>86931.57265</v>
      </c>
      <c r="M7" s="104">
        <f t="shared" si="6"/>
        <v>90814.31955</v>
      </c>
      <c r="N7" s="104">
        <f t="shared" si="6"/>
        <v>94386.44669</v>
      </c>
      <c r="O7" s="104">
        <f t="shared" si="6"/>
        <v>98575.90972</v>
      </c>
      <c r="P7" s="104">
        <f t="shared" si="6"/>
        <v>102430.2157</v>
      </c>
      <c r="Q7" s="104">
        <f t="shared" si="6"/>
        <v>105976.1772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5"/>
      <c r="B8" s="103" t="s">
        <v>527</v>
      </c>
      <c r="C8" s="104">
        <f t="shared" si="3"/>
        <v>1703.703704</v>
      </c>
      <c r="D8" s="105">
        <v>27.0</v>
      </c>
      <c r="E8" s="105">
        <v>46000.0</v>
      </c>
      <c r="F8" s="104">
        <f t="shared" ref="F8:Q8" si="7">E8*(1-$F90)+F17</f>
        <v>50265.05503</v>
      </c>
      <c r="G8" s="104">
        <f t="shared" si="7"/>
        <v>54188.90565</v>
      </c>
      <c r="H8" s="104">
        <f t="shared" si="7"/>
        <v>57798.84823</v>
      </c>
      <c r="I8" s="104">
        <f t="shared" si="7"/>
        <v>61914.5009</v>
      </c>
      <c r="J8" s="104">
        <f t="shared" si="7"/>
        <v>65700.90136</v>
      </c>
      <c r="K8" s="104">
        <f t="shared" si="7"/>
        <v>69184.38978</v>
      </c>
      <c r="L8" s="104">
        <f t="shared" si="7"/>
        <v>73183.70463</v>
      </c>
      <c r="M8" s="104">
        <f t="shared" si="7"/>
        <v>76863.07429</v>
      </c>
      <c r="N8" s="104">
        <f t="shared" si="7"/>
        <v>80248.09438</v>
      </c>
      <c r="O8" s="104">
        <f t="shared" si="7"/>
        <v>84156.81837</v>
      </c>
      <c r="P8" s="104">
        <f t="shared" si="7"/>
        <v>87752.84443</v>
      </c>
      <c r="Q8" s="104">
        <f t="shared" si="7"/>
        <v>91061.18841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106" t="s">
        <v>528</v>
      </c>
      <c r="C9" s="104">
        <f t="shared" si="3"/>
        <v>1500</v>
      </c>
      <c r="D9" s="105">
        <f>365-SUM(D4:D8)</f>
        <v>40</v>
      </c>
      <c r="E9" s="105">
        <f>E3-SUM(E4:E8)</f>
        <v>60000</v>
      </c>
      <c r="F9" s="104">
        <f t="shared" ref="F9:Q9" si="8">E9*(1-$F91)+F18</f>
        <v>62430.28496</v>
      </c>
      <c r="G9" s="104">
        <f t="shared" si="8"/>
        <v>64666.14713</v>
      </c>
      <c r="H9" s="104">
        <f t="shared" si="8"/>
        <v>66723.14032</v>
      </c>
      <c r="I9" s="104">
        <f t="shared" si="8"/>
        <v>69338.60256</v>
      </c>
      <c r="J9" s="104">
        <f t="shared" si="8"/>
        <v>71744.82781</v>
      </c>
      <c r="K9" s="104">
        <f t="shared" si="8"/>
        <v>73958.55505</v>
      </c>
      <c r="L9" s="104">
        <f t="shared" si="8"/>
        <v>76718.2126</v>
      </c>
      <c r="M9" s="104">
        <f t="shared" si="8"/>
        <v>79257.09755</v>
      </c>
      <c r="N9" s="104">
        <f t="shared" si="8"/>
        <v>81592.8717</v>
      </c>
      <c r="O9" s="104">
        <f t="shared" si="8"/>
        <v>84464.81242</v>
      </c>
      <c r="P9" s="104">
        <f t="shared" si="8"/>
        <v>87106.99788</v>
      </c>
      <c r="Q9" s="104">
        <f t="shared" si="8"/>
        <v>89537.8085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100" t="s">
        <v>421</v>
      </c>
      <c r="C10" s="78"/>
      <c r="D10" s="78"/>
      <c r="E10" s="78"/>
      <c r="F10" s="101">
        <f t="shared" ref="F10:Q10" si="9">-E3*$C$83</f>
        <v>-72000</v>
      </c>
      <c r="G10" s="101">
        <f t="shared" si="9"/>
        <v>-82240</v>
      </c>
      <c r="H10" s="101">
        <f t="shared" si="9"/>
        <v>-91660.8</v>
      </c>
      <c r="I10" s="101">
        <f t="shared" si="9"/>
        <v>-100327.936</v>
      </c>
      <c r="J10" s="101">
        <f t="shared" si="9"/>
        <v>-109901.7011</v>
      </c>
      <c r="K10" s="101">
        <f t="shared" si="9"/>
        <v>-118709.565</v>
      </c>
      <c r="L10" s="101">
        <f t="shared" si="9"/>
        <v>-126812.7998</v>
      </c>
      <c r="M10" s="101">
        <f t="shared" si="9"/>
        <v>-135867.7758</v>
      </c>
      <c r="N10" s="101">
        <f t="shared" si="9"/>
        <v>-144198.3538</v>
      </c>
      <c r="O10" s="101">
        <f t="shared" si="9"/>
        <v>-151862.4855</v>
      </c>
      <c r="P10" s="101">
        <f t="shared" si="9"/>
        <v>-160513.4866</v>
      </c>
      <c r="Q10" s="101">
        <f t="shared" si="9"/>
        <v>-168472.4077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107" t="s">
        <v>332</v>
      </c>
      <c r="C12" s="78"/>
      <c r="D12" s="78"/>
      <c r="E12" s="78"/>
      <c r="F12" s="108">
        <v>200000.0</v>
      </c>
      <c r="G12" s="108">
        <v>200000.0</v>
      </c>
      <c r="H12" s="108">
        <v>200000.0</v>
      </c>
      <c r="I12" s="108">
        <v>220000.0</v>
      </c>
      <c r="J12" s="108">
        <v>220000.0</v>
      </c>
      <c r="K12" s="108">
        <v>220000.0</v>
      </c>
      <c r="L12" s="108">
        <v>240000.0</v>
      </c>
      <c r="M12" s="108">
        <v>240000.0</v>
      </c>
      <c r="N12" s="108">
        <v>240000.0</v>
      </c>
      <c r="O12" s="108">
        <v>260000.0</v>
      </c>
      <c r="P12" s="108">
        <v>260000.0</v>
      </c>
      <c r="Q12" s="108">
        <v>260000.0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103" t="s">
        <v>523</v>
      </c>
      <c r="C13" s="5"/>
      <c r="D13" s="5"/>
      <c r="E13" s="109">
        <f t="shared" ref="E13:E18" si="11">F13/C86</f>
        <v>24.66666667</v>
      </c>
      <c r="F13" s="104">
        <f t="shared" ref="F13:Q13" si="10">F$12*$D$86</f>
        <v>74000</v>
      </c>
      <c r="G13" s="104">
        <f t="shared" si="10"/>
        <v>74000</v>
      </c>
      <c r="H13" s="104">
        <f t="shared" si="10"/>
        <v>74000</v>
      </c>
      <c r="I13" s="104">
        <f t="shared" si="10"/>
        <v>81400</v>
      </c>
      <c r="J13" s="104">
        <f t="shared" si="10"/>
        <v>81400</v>
      </c>
      <c r="K13" s="104">
        <f t="shared" si="10"/>
        <v>81400</v>
      </c>
      <c r="L13" s="104">
        <f t="shared" si="10"/>
        <v>88800</v>
      </c>
      <c r="M13" s="104">
        <f t="shared" si="10"/>
        <v>88800</v>
      </c>
      <c r="N13" s="104">
        <f t="shared" si="10"/>
        <v>88800</v>
      </c>
      <c r="O13" s="104">
        <f t="shared" si="10"/>
        <v>96200</v>
      </c>
      <c r="P13" s="104">
        <f t="shared" si="10"/>
        <v>96200</v>
      </c>
      <c r="Q13" s="60">
        <f t="shared" si="10"/>
        <v>96200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103" t="s">
        <v>524</v>
      </c>
      <c r="C14" s="5"/>
      <c r="D14" s="5"/>
      <c r="E14" s="109">
        <f t="shared" si="11"/>
        <v>20.91142079</v>
      </c>
      <c r="F14" s="104">
        <f t="shared" ref="F14:Q14" si="12">F$12*$D$87</f>
        <v>62734.26238</v>
      </c>
      <c r="G14" s="104">
        <f t="shared" si="12"/>
        <v>62734.26238</v>
      </c>
      <c r="H14" s="104">
        <f t="shared" si="12"/>
        <v>62734.26238</v>
      </c>
      <c r="I14" s="104">
        <f t="shared" si="12"/>
        <v>69007.68861</v>
      </c>
      <c r="J14" s="104">
        <f t="shared" si="12"/>
        <v>69007.68861</v>
      </c>
      <c r="K14" s="104">
        <f t="shared" si="12"/>
        <v>69007.68861</v>
      </c>
      <c r="L14" s="104">
        <f t="shared" si="12"/>
        <v>75281.11485</v>
      </c>
      <c r="M14" s="104">
        <f t="shared" si="12"/>
        <v>75281.11485</v>
      </c>
      <c r="N14" s="104">
        <f t="shared" si="12"/>
        <v>75281.11485</v>
      </c>
      <c r="O14" s="104">
        <f t="shared" si="12"/>
        <v>81554.54109</v>
      </c>
      <c r="P14" s="104">
        <f t="shared" si="12"/>
        <v>81554.54109</v>
      </c>
      <c r="Q14" s="60">
        <f t="shared" si="12"/>
        <v>81554.54109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103" t="s">
        <v>525</v>
      </c>
      <c r="C15" s="5"/>
      <c r="D15" s="5"/>
      <c r="E15" s="109">
        <f t="shared" si="11"/>
        <v>15.62373482</v>
      </c>
      <c r="F15" s="104">
        <f t="shared" ref="F15:Q15" si="13">F$12*$D$88</f>
        <v>39059.33704</v>
      </c>
      <c r="G15" s="104">
        <f t="shared" si="13"/>
        <v>39059.33704</v>
      </c>
      <c r="H15" s="104">
        <f t="shared" si="13"/>
        <v>39059.33704</v>
      </c>
      <c r="I15" s="104">
        <f t="shared" si="13"/>
        <v>42965.27075</v>
      </c>
      <c r="J15" s="104">
        <f t="shared" si="13"/>
        <v>42965.27075</v>
      </c>
      <c r="K15" s="104">
        <f t="shared" si="13"/>
        <v>42965.27075</v>
      </c>
      <c r="L15" s="104">
        <f t="shared" si="13"/>
        <v>46871.20445</v>
      </c>
      <c r="M15" s="104">
        <f t="shared" si="13"/>
        <v>46871.20445</v>
      </c>
      <c r="N15" s="104">
        <f t="shared" si="13"/>
        <v>46871.20445</v>
      </c>
      <c r="O15" s="104">
        <f t="shared" si="13"/>
        <v>50777.13816</v>
      </c>
      <c r="P15" s="104">
        <f t="shared" si="13"/>
        <v>50777.13816</v>
      </c>
      <c r="Q15" s="60">
        <f t="shared" si="13"/>
        <v>50777.13816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103" t="s">
        <v>526</v>
      </c>
      <c r="C16" s="5"/>
      <c r="D16" s="5"/>
      <c r="E16" s="109">
        <f t="shared" si="11"/>
        <v>1.806212118</v>
      </c>
      <c r="F16" s="104">
        <f t="shared" ref="F16:Q16" si="14">F$12*$D$89</f>
        <v>9031.060588</v>
      </c>
      <c r="G16" s="104">
        <f t="shared" si="14"/>
        <v>9031.060588</v>
      </c>
      <c r="H16" s="104">
        <f t="shared" si="14"/>
        <v>9031.060588</v>
      </c>
      <c r="I16" s="104">
        <f t="shared" si="14"/>
        <v>9934.166647</v>
      </c>
      <c r="J16" s="104">
        <f t="shared" si="14"/>
        <v>9934.166647</v>
      </c>
      <c r="K16" s="104">
        <f t="shared" si="14"/>
        <v>9934.166647</v>
      </c>
      <c r="L16" s="104">
        <f t="shared" si="14"/>
        <v>10837.27271</v>
      </c>
      <c r="M16" s="104">
        <f t="shared" si="14"/>
        <v>10837.27271</v>
      </c>
      <c r="N16" s="104">
        <f t="shared" si="14"/>
        <v>10837.27271</v>
      </c>
      <c r="O16" s="104">
        <f t="shared" si="14"/>
        <v>11740.37876</v>
      </c>
      <c r="P16" s="104">
        <f t="shared" si="14"/>
        <v>11740.37876</v>
      </c>
      <c r="Q16" s="60">
        <f t="shared" si="14"/>
        <v>11740.37876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103" t="s">
        <v>527</v>
      </c>
      <c r="C17" s="5"/>
      <c r="D17" s="5"/>
      <c r="E17" s="109">
        <f t="shared" si="11"/>
        <v>5.296703352</v>
      </c>
      <c r="F17" s="104">
        <f t="shared" ref="F17:Q17" si="15">F$12*$D$90</f>
        <v>7945.055027</v>
      </c>
      <c r="G17" s="104">
        <f t="shared" si="15"/>
        <v>7945.055027</v>
      </c>
      <c r="H17" s="104">
        <f t="shared" si="15"/>
        <v>7945.055027</v>
      </c>
      <c r="I17" s="104">
        <f t="shared" si="15"/>
        <v>8739.56053</v>
      </c>
      <c r="J17" s="104">
        <f t="shared" si="15"/>
        <v>8739.56053</v>
      </c>
      <c r="K17" s="104">
        <f t="shared" si="15"/>
        <v>8739.56053</v>
      </c>
      <c r="L17" s="104">
        <f t="shared" si="15"/>
        <v>9534.066033</v>
      </c>
      <c r="M17" s="104">
        <f t="shared" si="15"/>
        <v>9534.066033</v>
      </c>
      <c r="N17" s="104">
        <f t="shared" si="15"/>
        <v>9534.066033</v>
      </c>
      <c r="O17" s="104">
        <f t="shared" si="15"/>
        <v>10328.57154</v>
      </c>
      <c r="P17" s="104">
        <f t="shared" si="15"/>
        <v>10328.57154</v>
      </c>
      <c r="Q17" s="60">
        <f t="shared" si="15"/>
        <v>10328.57154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106" t="s">
        <v>529</v>
      </c>
      <c r="C18" s="5"/>
      <c r="D18" s="5"/>
      <c r="E18" s="109">
        <f t="shared" si="11"/>
        <v>4.820189976</v>
      </c>
      <c r="F18" s="104">
        <f t="shared" ref="F18:Q18" si="16">F12-SUM(F13:F17)</f>
        <v>7230.284964</v>
      </c>
      <c r="G18" s="104">
        <f t="shared" si="16"/>
        <v>7230.284964</v>
      </c>
      <c r="H18" s="104">
        <f t="shared" si="16"/>
        <v>7230.284964</v>
      </c>
      <c r="I18" s="104">
        <f t="shared" si="16"/>
        <v>7953.31346</v>
      </c>
      <c r="J18" s="104">
        <f t="shared" si="16"/>
        <v>7953.31346</v>
      </c>
      <c r="K18" s="104">
        <f t="shared" si="16"/>
        <v>7953.31346</v>
      </c>
      <c r="L18" s="104">
        <f t="shared" si="16"/>
        <v>8676.341957</v>
      </c>
      <c r="M18" s="104">
        <f t="shared" si="16"/>
        <v>8676.341957</v>
      </c>
      <c r="N18" s="104">
        <f t="shared" si="16"/>
        <v>8676.341957</v>
      </c>
      <c r="O18" s="104">
        <f t="shared" si="16"/>
        <v>9399.370453</v>
      </c>
      <c r="P18" s="104">
        <f t="shared" si="16"/>
        <v>9399.370453</v>
      </c>
      <c r="Q18" s="60">
        <f t="shared" si="16"/>
        <v>9399.370453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110">
        <f t="shared" ref="G19:Q19" si="17">G20-F20</f>
        <v>42.47664017</v>
      </c>
      <c r="H19" s="110">
        <f t="shared" si="17"/>
        <v>39.07850896</v>
      </c>
      <c r="I19" s="110">
        <f t="shared" si="17"/>
        <v>43.26472101</v>
      </c>
      <c r="J19" s="110">
        <f t="shared" si="17"/>
        <v>39.80354333</v>
      </c>
      <c r="K19" s="110">
        <f t="shared" si="17"/>
        <v>36.61925986</v>
      </c>
      <c r="L19" s="110">
        <f t="shared" si="17"/>
        <v>41.00221185</v>
      </c>
      <c r="M19" s="110">
        <f t="shared" si="17"/>
        <v>37.7220349</v>
      </c>
      <c r="N19" s="110">
        <f t="shared" si="17"/>
        <v>34.70427211</v>
      </c>
      <c r="O19" s="110">
        <f t="shared" si="17"/>
        <v>39.24042311</v>
      </c>
      <c r="P19" s="110">
        <f t="shared" si="17"/>
        <v>36.10118926</v>
      </c>
      <c r="Q19" s="110">
        <f t="shared" si="17"/>
        <v>33.21309412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111" t="s">
        <v>522</v>
      </c>
      <c r="C20" s="5"/>
      <c r="D20" s="5"/>
      <c r="E20" s="5"/>
      <c r="F20" s="112">
        <f t="shared" ref="F20:Q20" si="18">SUM(F21:F26)</f>
        <v>383.1035944</v>
      </c>
      <c r="G20" s="112">
        <f t="shared" si="18"/>
        <v>425.5802346</v>
      </c>
      <c r="H20" s="112">
        <f t="shared" si="18"/>
        <v>464.6587435</v>
      </c>
      <c r="I20" s="112">
        <f t="shared" si="18"/>
        <v>507.9234645</v>
      </c>
      <c r="J20" s="112">
        <f t="shared" si="18"/>
        <v>547.7270079</v>
      </c>
      <c r="K20" s="112">
        <f t="shared" si="18"/>
        <v>584.3462677</v>
      </c>
      <c r="L20" s="112">
        <f t="shared" si="18"/>
        <v>625.3484796</v>
      </c>
      <c r="M20" s="112">
        <f t="shared" si="18"/>
        <v>663.0705145</v>
      </c>
      <c r="N20" s="112">
        <f t="shared" si="18"/>
        <v>697.7747866</v>
      </c>
      <c r="O20" s="112">
        <f t="shared" si="18"/>
        <v>737.0152097</v>
      </c>
      <c r="P20" s="112">
        <f t="shared" si="18"/>
        <v>773.116399</v>
      </c>
      <c r="Q20" s="112">
        <f t="shared" si="18"/>
        <v>806.3294931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103" t="s">
        <v>523</v>
      </c>
      <c r="C21" s="5"/>
      <c r="D21" s="5"/>
      <c r="E21" s="5"/>
      <c r="F21" s="113">
        <f>$F4/$C86</f>
        <v>156.5333333</v>
      </c>
      <c r="G21" s="113">
        <f t="shared" ref="G21:Q21" si="19">G$4/$C$86</f>
        <v>168.6773333</v>
      </c>
      <c r="H21" s="113">
        <f t="shared" si="19"/>
        <v>179.8498133</v>
      </c>
      <c r="I21" s="113">
        <f t="shared" si="19"/>
        <v>192.5951616</v>
      </c>
      <c r="J21" s="113">
        <f t="shared" si="19"/>
        <v>204.320882</v>
      </c>
      <c r="K21" s="113">
        <f t="shared" si="19"/>
        <v>215.1085448</v>
      </c>
      <c r="L21" s="113">
        <f t="shared" si="19"/>
        <v>227.4998612</v>
      </c>
      <c r="M21" s="113">
        <f t="shared" si="19"/>
        <v>238.8998723</v>
      </c>
      <c r="N21" s="113">
        <f t="shared" si="19"/>
        <v>249.3878825</v>
      </c>
      <c r="O21" s="113">
        <f t="shared" si="19"/>
        <v>261.5035186</v>
      </c>
      <c r="P21" s="113">
        <f t="shared" si="19"/>
        <v>272.6499038</v>
      </c>
      <c r="Q21" s="113">
        <f t="shared" si="19"/>
        <v>282.9045781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103" t="s">
        <v>524</v>
      </c>
      <c r="C22" s="5"/>
      <c r="D22" s="5"/>
      <c r="E22" s="5"/>
      <c r="F22" s="113">
        <f t="shared" ref="F22:Q22" si="20">F5/$C87</f>
        <v>70.89808746</v>
      </c>
      <c r="G22" s="113">
        <f t="shared" si="20"/>
        <v>86.13766125</v>
      </c>
      <c r="H22" s="113">
        <f t="shared" si="20"/>
        <v>100.1580691</v>
      </c>
      <c r="I22" s="113">
        <f t="shared" si="20"/>
        <v>115.1479865</v>
      </c>
      <c r="J22" s="113">
        <f t="shared" si="20"/>
        <v>128.9387104</v>
      </c>
      <c r="K22" s="113">
        <f t="shared" si="20"/>
        <v>141.6261765</v>
      </c>
      <c r="L22" s="113">
        <f t="shared" si="20"/>
        <v>155.3897873</v>
      </c>
      <c r="M22" s="113">
        <f t="shared" si="20"/>
        <v>168.0523093</v>
      </c>
      <c r="N22" s="113">
        <f t="shared" si="20"/>
        <v>179.7018295</v>
      </c>
      <c r="O22" s="113">
        <f t="shared" si="20"/>
        <v>192.5105302</v>
      </c>
      <c r="P22" s="113">
        <f t="shared" si="20"/>
        <v>204.2945348</v>
      </c>
      <c r="Q22" s="113">
        <f t="shared" si="20"/>
        <v>215.135819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103" t="s">
        <v>525</v>
      </c>
      <c r="C23" s="5"/>
      <c r="D23" s="5"/>
      <c r="E23" s="5"/>
      <c r="F23" s="113">
        <f t="shared" ref="F23:Q23" si="21">F6/$C88</f>
        <v>67.87973482</v>
      </c>
      <c r="G23" s="113">
        <f t="shared" si="21"/>
        <v>78.07309085</v>
      </c>
      <c r="H23" s="113">
        <f t="shared" si="21"/>
        <v>87.4509784</v>
      </c>
      <c r="I23" s="113">
        <f t="shared" si="21"/>
        <v>97.64100843</v>
      </c>
      <c r="J23" s="113">
        <f t="shared" si="21"/>
        <v>107.0158361</v>
      </c>
      <c r="K23" s="113">
        <f t="shared" si="21"/>
        <v>115.6406775</v>
      </c>
      <c r="L23" s="113">
        <f t="shared" si="21"/>
        <v>125.1379051</v>
      </c>
      <c r="M23" s="113">
        <f t="shared" si="21"/>
        <v>133.8753544</v>
      </c>
      <c r="N23" s="113">
        <f t="shared" si="21"/>
        <v>141.9138079</v>
      </c>
      <c r="O23" s="113">
        <f t="shared" si="21"/>
        <v>150.8715585</v>
      </c>
      <c r="P23" s="113">
        <f t="shared" si="21"/>
        <v>159.1126891</v>
      </c>
      <c r="Q23" s="113">
        <f t="shared" si="21"/>
        <v>166.6945292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103" t="s">
        <v>526</v>
      </c>
      <c r="C24" s="5"/>
      <c r="D24" s="5"/>
      <c r="E24" s="5"/>
      <c r="F24" s="113">
        <f t="shared" ref="F24:Q24" si="22">F7/$C89</f>
        <v>12.66221212</v>
      </c>
      <c r="G24" s="113">
        <f t="shared" si="22"/>
        <v>13.45544727</v>
      </c>
      <c r="H24" s="113">
        <f t="shared" si="22"/>
        <v>14.1852236</v>
      </c>
      <c r="I24" s="113">
        <f t="shared" si="22"/>
        <v>15.03723904</v>
      </c>
      <c r="J24" s="113">
        <f t="shared" si="22"/>
        <v>15.82109325</v>
      </c>
      <c r="K24" s="113">
        <f t="shared" si="22"/>
        <v>16.54223912</v>
      </c>
      <c r="L24" s="113">
        <f t="shared" si="22"/>
        <v>17.38631453</v>
      </c>
      <c r="M24" s="113">
        <f t="shared" si="22"/>
        <v>18.16286391</v>
      </c>
      <c r="N24" s="113">
        <f t="shared" si="22"/>
        <v>18.87728934</v>
      </c>
      <c r="O24" s="113">
        <f t="shared" si="22"/>
        <v>19.71518194</v>
      </c>
      <c r="P24" s="113">
        <f t="shared" si="22"/>
        <v>20.48604314</v>
      </c>
      <c r="Q24" s="113">
        <f t="shared" si="22"/>
        <v>21.19523544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103" t="s">
        <v>527</v>
      </c>
      <c r="C25" s="5"/>
      <c r="D25" s="5"/>
      <c r="E25" s="5"/>
      <c r="F25" s="113">
        <f t="shared" ref="F25:Q25" si="23">F8/$C90</f>
        <v>33.51003668</v>
      </c>
      <c r="G25" s="113">
        <f t="shared" si="23"/>
        <v>36.1259371</v>
      </c>
      <c r="H25" s="113">
        <f t="shared" si="23"/>
        <v>38.53256549</v>
      </c>
      <c r="I25" s="113">
        <f t="shared" si="23"/>
        <v>41.27633393</v>
      </c>
      <c r="J25" s="113">
        <f t="shared" si="23"/>
        <v>43.80060091</v>
      </c>
      <c r="K25" s="113">
        <f t="shared" si="23"/>
        <v>46.12292652</v>
      </c>
      <c r="L25" s="113">
        <f t="shared" si="23"/>
        <v>48.78913642</v>
      </c>
      <c r="M25" s="113">
        <f t="shared" si="23"/>
        <v>51.24204953</v>
      </c>
      <c r="N25" s="113">
        <f t="shared" si="23"/>
        <v>53.49872959</v>
      </c>
      <c r="O25" s="113">
        <f t="shared" si="23"/>
        <v>56.10454558</v>
      </c>
      <c r="P25" s="113">
        <f t="shared" si="23"/>
        <v>58.50189629</v>
      </c>
      <c r="Q25" s="113">
        <f t="shared" si="23"/>
        <v>60.70745894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106" t="s">
        <v>529</v>
      </c>
      <c r="C26" s="5"/>
      <c r="D26" s="5"/>
      <c r="E26" s="5"/>
      <c r="F26" s="113">
        <f t="shared" ref="F26:Q26" si="24">F9/$C91</f>
        <v>41.62018998</v>
      </c>
      <c r="G26" s="113">
        <f t="shared" si="24"/>
        <v>43.11076475</v>
      </c>
      <c r="H26" s="113">
        <f t="shared" si="24"/>
        <v>44.48209355</v>
      </c>
      <c r="I26" s="113">
        <f t="shared" si="24"/>
        <v>46.22573504</v>
      </c>
      <c r="J26" s="113">
        <f t="shared" si="24"/>
        <v>47.82988521</v>
      </c>
      <c r="K26" s="113">
        <f t="shared" si="24"/>
        <v>49.30570337</v>
      </c>
      <c r="L26" s="113">
        <f t="shared" si="24"/>
        <v>51.14547507</v>
      </c>
      <c r="M26" s="113">
        <f t="shared" si="24"/>
        <v>52.83806503</v>
      </c>
      <c r="N26" s="113">
        <f t="shared" si="24"/>
        <v>54.3952478</v>
      </c>
      <c r="O26" s="113">
        <f t="shared" si="24"/>
        <v>56.30987495</v>
      </c>
      <c r="P26" s="113">
        <f t="shared" si="24"/>
        <v>58.07133192</v>
      </c>
      <c r="Q26" s="113">
        <f t="shared" si="24"/>
        <v>59.69187233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111" t="s">
        <v>530</v>
      </c>
      <c r="C28" s="5"/>
      <c r="D28" s="5"/>
      <c r="E28" s="5"/>
      <c r="F28" s="112">
        <f t="shared" ref="F28:Q28" si="25">SUM(F29:F40)</f>
        <v>58.81753662</v>
      </c>
      <c r="G28" s="112">
        <f t="shared" si="25"/>
        <v>63.88792568</v>
      </c>
      <c r="H28" s="112">
        <f t="shared" si="25"/>
        <v>69.80935028</v>
      </c>
      <c r="I28" s="112">
        <f t="shared" si="25"/>
        <v>77.07530678</v>
      </c>
      <c r="J28" s="112">
        <f t="shared" si="25"/>
        <v>83.0233201</v>
      </c>
      <c r="K28" s="112">
        <f t="shared" si="25"/>
        <v>88.75549234</v>
      </c>
      <c r="L28" s="112">
        <f t="shared" si="25"/>
        <v>94.76400335</v>
      </c>
      <c r="M28" s="112">
        <f t="shared" si="25"/>
        <v>99.46850013</v>
      </c>
      <c r="N28" s="112">
        <f t="shared" si="25"/>
        <v>103.9699705</v>
      </c>
      <c r="O28" s="112">
        <f t="shared" si="25"/>
        <v>109.8429025</v>
      </c>
      <c r="P28" s="112">
        <f t="shared" si="25"/>
        <v>115.5059999</v>
      </c>
      <c r="Q28" s="112">
        <f t="shared" si="25"/>
        <v>122.0593828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103" t="s">
        <v>523</v>
      </c>
      <c r="C29" s="5"/>
      <c r="D29" s="5"/>
      <c r="E29" s="5"/>
      <c r="F29" s="113">
        <f t="shared" ref="F29:Q29" si="26">ROUNDUP(F21/$E$86,0)</f>
        <v>16</v>
      </c>
      <c r="G29" s="113">
        <f t="shared" si="26"/>
        <v>17</v>
      </c>
      <c r="H29" s="113">
        <f t="shared" si="26"/>
        <v>18</v>
      </c>
      <c r="I29" s="113">
        <f t="shared" si="26"/>
        <v>20</v>
      </c>
      <c r="J29" s="113">
        <f t="shared" si="26"/>
        <v>21</v>
      </c>
      <c r="K29" s="113">
        <f t="shared" si="26"/>
        <v>22</v>
      </c>
      <c r="L29" s="113">
        <f t="shared" si="26"/>
        <v>23</v>
      </c>
      <c r="M29" s="113">
        <f t="shared" si="26"/>
        <v>24</v>
      </c>
      <c r="N29" s="113">
        <f t="shared" si="26"/>
        <v>25</v>
      </c>
      <c r="O29" s="113">
        <f t="shared" si="26"/>
        <v>27</v>
      </c>
      <c r="P29" s="113">
        <f t="shared" si="26"/>
        <v>28</v>
      </c>
      <c r="Q29" s="113">
        <f t="shared" si="26"/>
        <v>29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114" t="s">
        <v>531</v>
      </c>
      <c r="C30" s="5"/>
      <c r="D30" s="5"/>
      <c r="E30" s="5"/>
      <c r="F30" s="113">
        <f t="shared" ref="F30:Q30" si="27">F21/$E$97</f>
        <v>6.020512821</v>
      </c>
      <c r="G30" s="113">
        <f t="shared" si="27"/>
        <v>6.487589744</v>
      </c>
      <c r="H30" s="113">
        <f t="shared" si="27"/>
        <v>6.917300513</v>
      </c>
      <c r="I30" s="113">
        <f t="shared" si="27"/>
        <v>7.407506215</v>
      </c>
      <c r="J30" s="113">
        <f t="shared" si="27"/>
        <v>7.858495462</v>
      </c>
      <c r="K30" s="113">
        <f t="shared" si="27"/>
        <v>8.273405568</v>
      </c>
      <c r="L30" s="113">
        <f t="shared" si="27"/>
        <v>8.749994661</v>
      </c>
      <c r="M30" s="113">
        <f t="shared" si="27"/>
        <v>9.188456627</v>
      </c>
      <c r="N30" s="113">
        <f t="shared" si="27"/>
        <v>9.591841635</v>
      </c>
      <c r="O30" s="113">
        <f t="shared" si="27"/>
        <v>10.05782764</v>
      </c>
      <c r="P30" s="113">
        <f t="shared" si="27"/>
        <v>10.48653476</v>
      </c>
      <c r="Q30" s="113">
        <f t="shared" si="27"/>
        <v>10.88094531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103" t="s">
        <v>524</v>
      </c>
      <c r="C31" s="5"/>
      <c r="D31" s="5"/>
      <c r="E31" s="5"/>
      <c r="F31" s="113">
        <f t="shared" ref="F31:Q31" si="28">ROUNDUP(F22/$E$87,0)</f>
        <v>5</v>
      </c>
      <c r="G31" s="113">
        <f t="shared" si="28"/>
        <v>6</v>
      </c>
      <c r="H31" s="113">
        <f t="shared" si="28"/>
        <v>7</v>
      </c>
      <c r="I31" s="113">
        <f t="shared" si="28"/>
        <v>8</v>
      </c>
      <c r="J31" s="113">
        <f t="shared" si="28"/>
        <v>9</v>
      </c>
      <c r="K31" s="113">
        <f t="shared" si="28"/>
        <v>10</v>
      </c>
      <c r="L31" s="113">
        <f t="shared" si="28"/>
        <v>11</v>
      </c>
      <c r="M31" s="113">
        <f t="shared" si="28"/>
        <v>12</v>
      </c>
      <c r="N31" s="113">
        <f t="shared" si="28"/>
        <v>12</v>
      </c>
      <c r="O31" s="113">
        <f t="shared" si="28"/>
        <v>13</v>
      </c>
      <c r="P31" s="113">
        <f t="shared" si="28"/>
        <v>14</v>
      </c>
      <c r="Q31" s="113">
        <f t="shared" si="28"/>
        <v>15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114" t="s">
        <v>532</v>
      </c>
      <c r="C32" s="5"/>
      <c r="D32" s="5"/>
      <c r="E32" s="5"/>
      <c r="F32" s="113">
        <f t="shared" ref="F32:Q32" si="29">F22/$E$96</f>
        <v>3.544904373</v>
      </c>
      <c r="G32" s="113">
        <f t="shared" si="29"/>
        <v>4.306883063</v>
      </c>
      <c r="H32" s="113">
        <f t="shared" si="29"/>
        <v>5.007903457</v>
      </c>
      <c r="I32" s="113">
        <f t="shared" si="29"/>
        <v>5.757399324</v>
      </c>
      <c r="J32" s="113">
        <f t="shared" si="29"/>
        <v>6.446935522</v>
      </c>
      <c r="K32" s="113">
        <f t="shared" si="29"/>
        <v>7.081308824</v>
      </c>
      <c r="L32" s="113">
        <f t="shared" si="29"/>
        <v>7.769489365</v>
      </c>
      <c r="M32" s="113">
        <f t="shared" si="29"/>
        <v>8.402615464</v>
      </c>
      <c r="N32" s="113">
        <f t="shared" si="29"/>
        <v>8.985091474</v>
      </c>
      <c r="O32" s="113">
        <f t="shared" si="29"/>
        <v>9.625526508</v>
      </c>
      <c r="P32" s="113">
        <f t="shared" si="29"/>
        <v>10.21472674</v>
      </c>
      <c r="Q32" s="113">
        <f t="shared" si="29"/>
        <v>10.75679095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103" t="s">
        <v>525</v>
      </c>
      <c r="C33" s="5"/>
      <c r="D33" s="5"/>
      <c r="E33" s="5"/>
      <c r="F33" s="113">
        <f t="shared" ref="F33:Q33" si="30">ROUNDUP(F23/$E$88,0)</f>
        <v>4</v>
      </c>
      <c r="G33" s="113">
        <f t="shared" si="30"/>
        <v>4</v>
      </c>
      <c r="H33" s="113">
        <f t="shared" si="30"/>
        <v>5</v>
      </c>
      <c r="I33" s="113">
        <f t="shared" si="30"/>
        <v>5</v>
      </c>
      <c r="J33" s="113">
        <f t="shared" si="30"/>
        <v>6</v>
      </c>
      <c r="K33" s="113">
        <f t="shared" si="30"/>
        <v>6</v>
      </c>
      <c r="L33" s="113">
        <f t="shared" si="30"/>
        <v>7</v>
      </c>
      <c r="M33" s="113">
        <f t="shared" si="30"/>
        <v>7</v>
      </c>
      <c r="N33" s="113">
        <f t="shared" si="30"/>
        <v>8</v>
      </c>
      <c r="O33" s="113">
        <f t="shared" si="30"/>
        <v>8</v>
      </c>
      <c r="P33" s="113">
        <f t="shared" si="30"/>
        <v>8</v>
      </c>
      <c r="Q33" s="113">
        <f t="shared" si="30"/>
        <v>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114" t="s">
        <v>533</v>
      </c>
      <c r="C34" s="5"/>
      <c r="D34" s="5"/>
      <c r="E34" s="5"/>
      <c r="F34" s="113">
        <f t="shared" ref="F34:Q34" si="31">F23/$E$95</f>
        <v>4.525315655</v>
      </c>
      <c r="G34" s="113">
        <f t="shared" si="31"/>
        <v>5.204872723</v>
      </c>
      <c r="H34" s="113">
        <f t="shared" si="31"/>
        <v>5.830065227</v>
      </c>
      <c r="I34" s="113">
        <f t="shared" si="31"/>
        <v>6.509400562</v>
      </c>
      <c r="J34" s="113">
        <f t="shared" si="31"/>
        <v>7.13438907</v>
      </c>
      <c r="K34" s="113">
        <f t="shared" si="31"/>
        <v>7.709378498</v>
      </c>
      <c r="L34" s="113">
        <f t="shared" si="31"/>
        <v>8.342527003</v>
      </c>
      <c r="M34" s="113">
        <f t="shared" si="31"/>
        <v>8.925023629</v>
      </c>
      <c r="N34" s="113">
        <f t="shared" si="31"/>
        <v>9.460920524</v>
      </c>
      <c r="O34" s="113">
        <f t="shared" si="31"/>
        <v>10.0581039</v>
      </c>
      <c r="P34" s="113">
        <f t="shared" si="31"/>
        <v>10.6075126</v>
      </c>
      <c r="Q34" s="113">
        <f t="shared" si="31"/>
        <v>11.11296861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103" t="s">
        <v>526</v>
      </c>
      <c r="C35" s="5"/>
      <c r="D35" s="5"/>
      <c r="E35" s="5"/>
      <c r="F35" s="113">
        <f t="shared" ref="F35:Q35" si="32">ROUNDUP(F24/$E$89,0)</f>
        <v>2</v>
      </c>
      <c r="G35" s="113">
        <f t="shared" si="32"/>
        <v>2</v>
      </c>
      <c r="H35" s="113">
        <f t="shared" si="32"/>
        <v>2</v>
      </c>
      <c r="I35" s="113">
        <f t="shared" si="32"/>
        <v>2</v>
      </c>
      <c r="J35" s="113">
        <f t="shared" si="32"/>
        <v>2</v>
      </c>
      <c r="K35" s="113">
        <f t="shared" si="32"/>
        <v>2</v>
      </c>
      <c r="L35" s="113">
        <f t="shared" si="32"/>
        <v>2</v>
      </c>
      <c r="M35" s="113">
        <f t="shared" si="32"/>
        <v>2</v>
      </c>
      <c r="N35" s="113">
        <f t="shared" si="32"/>
        <v>2</v>
      </c>
      <c r="O35" s="113">
        <f t="shared" si="32"/>
        <v>2</v>
      </c>
      <c r="P35" s="113">
        <f t="shared" si="32"/>
        <v>3</v>
      </c>
      <c r="Q35" s="113">
        <f t="shared" si="32"/>
        <v>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103" t="s">
        <v>527</v>
      </c>
      <c r="C36" s="5"/>
      <c r="D36" s="5"/>
      <c r="E36" s="5"/>
      <c r="F36" s="113">
        <f t="shared" ref="F36:Q36" si="33">ROUNDUP(F25/$E$90,0)</f>
        <v>3</v>
      </c>
      <c r="G36" s="113">
        <f t="shared" si="33"/>
        <v>3</v>
      </c>
      <c r="H36" s="113">
        <f t="shared" si="33"/>
        <v>3</v>
      </c>
      <c r="I36" s="113">
        <f t="shared" si="33"/>
        <v>3</v>
      </c>
      <c r="J36" s="113">
        <f t="shared" si="33"/>
        <v>3</v>
      </c>
      <c r="K36" s="113">
        <f t="shared" si="33"/>
        <v>4</v>
      </c>
      <c r="L36" s="113">
        <f t="shared" si="33"/>
        <v>4</v>
      </c>
      <c r="M36" s="113">
        <f t="shared" si="33"/>
        <v>4</v>
      </c>
      <c r="N36" s="113">
        <f t="shared" si="33"/>
        <v>4</v>
      </c>
      <c r="O36" s="113">
        <f t="shared" si="33"/>
        <v>4</v>
      </c>
      <c r="P36" s="113">
        <f t="shared" si="33"/>
        <v>4</v>
      </c>
      <c r="Q36" s="113">
        <f t="shared" si="33"/>
        <v>5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114" t="s">
        <v>534</v>
      </c>
      <c r="C37" s="5"/>
      <c r="D37" s="5"/>
      <c r="E37" s="5"/>
      <c r="F37" s="113">
        <f t="shared" ref="F37:Q37" si="34">F25/$E$98</f>
        <v>0.8173179679</v>
      </c>
      <c r="G37" s="113">
        <f t="shared" si="34"/>
        <v>0.8811204171</v>
      </c>
      <c r="H37" s="113">
        <f t="shared" si="34"/>
        <v>0.9398186704</v>
      </c>
      <c r="I37" s="113">
        <f t="shared" si="34"/>
        <v>1.006739852</v>
      </c>
      <c r="J37" s="113">
        <f t="shared" si="34"/>
        <v>1.068307339</v>
      </c>
      <c r="K37" s="113">
        <f t="shared" si="34"/>
        <v>1.124949427</v>
      </c>
      <c r="L37" s="113">
        <f t="shared" si="34"/>
        <v>1.189978937</v>
      </c>
      <c r="M37" s="113">
        <f t="shared" si="34"/>
        <v>1.249806086</v>
      </c>
      <c r="N37" s="113">
        <f t="shared" si="34"/>
        <v>1.304847063</v>
      </c>
      <c r="O37" s="113">
        <f t="shared" si="34"/>
        <v>1.368403551</v>
      </c>
      <c r="P37" s="113">
        <f t="shared" si="34"/>
        <v>1.426875519</v>
      </c>
      <c r="Q37" s="113">
        <f t="shared" si="34"/>
        <v>1.48066973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106" t="s">
        <v>529</v>
      </c>
      <c r="C38" s="5"/>
      <c r="D38" s="5"/>
      <c r="E38" s="5"/>
      <c r="F38" s="113">
        <f t="shared" ref="F38:Q38" si="35">ROUNDUP(F26/$E$91,0)</f>
        <v>3</v>
      </c>
      <c r="G38" s="113">
        <f t="shared" si="35"/>
        <v>3</v>
      </c>
      <c r="H38" s="113">
        <f t="shared" si="35"/>
        <v>3</v>
      </c>
      <c r="I38" s="113">
        <f t="shared" si="35"/>
        <v>4</v>
      </c>
      <c r="J38" s="113">
        <f t="shared" si="35"/>
        <v>4</v>
      </c>
      <c r="K38" s="113">
        <f t="shared" si="35"/>
        <v>4</v>
      </c>
      <c r="L38" s="113">
        <f t="shared" si="35"/>
        <v>4</v>
      </c>
      <c r="M38" s="113">
        <f t="shared" si="35"/>
        <v>4</v>
      </c>
      <c r="N38" s="113">
        <f t="shared" si="35"/>
        <v>4</v>
      </c>
      <c r="O38" s="113">
        <f t="shared" si="35"/>
        <v>4</v>
      </c>
      <c r="P38" s="113">
        <f t="shared" si="35"/>
        <v>4</v>
      </c>
      <c r="Q38" s="113">
        <f t="shared" si="35"/>
        <v>4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115" t="s">
        <v>535</v>
      </c>
      <c r="C39" s="5"/>
      <c r="D39" s="5"/>
      <c r="E39" s="5"/>
      <c r="F39" s="113">
        <f t="shared" ref="F39:Q39" si="36">F20/60</f>
        <v>6.385059906</v>
      </c>
      <c r="G39" s="113">
        <f t="shared" si="36"/>
        <v>7.093003909</v>
      </c>
      <c r="H39" s="113">
        <f t="shared" si="36"/>
        <v>7.744312392</v>
      </c>
      <c r="I39" s="113">
        <f t="shared" si="36"/>
        <v>8.465391075</v>
      </c>
      <c r="J39" s="113">
        <f t="shared" si="36"/>
        <v>9.128783464</v>
      </c>
      <c r="K39" s="113">
        <f t="shared" si="36"/>
        <v>9.739104462</v>
      </c>
      <c r="L39" s="113">
        <f t="shared" si="36"/>
        <v>10.42247466</v>
      </c>
      <c r="M39" s="113">
        <f t="shared" si="36"/>
        <v>11.05117524</v>
      </c>
      <c r="N39" s="113">
        <f t="shared" si="36"/>
        <v>11.62957978</v>
      </c>
      <c r="O39" s="113">
        <f t="shared" si="36"/>
        <v>12.28358683</v>
      </c>
      <c r="P39" s="113">
        <f t="shared" si="36"/>
        <v>12.88527332</v>
      </c>
      <c r="Q39" s="113">
        <f t="shared" si="36"/>
        <v>13.43882488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4" t="s">
        <v>536</v>
      </c>
      <c r="C40" s="5"/>
      <c r="D40" s="5"/>
      <c r="E40" s="5"/>
      <c r="F40" s="113">
        <f t="shared" ref="F40:Q40" si="37">SUM(F29:F39)/12</f>
        <v>4.524425894</v>
      </c>
      <c r="G40" s="113">
        <f t="shared" si="37"/>
        <v>4.914455821</v>
      </c>
      <c r="H40" s="113">
        <f t="shared" si="37"/>
        <v>5.369950022</v>
      </c>
      <c r="I40" s="113">
        <f t="shared" si="37"/>
        <v>5.928869752</v>
      </c>
      <c r="J40" s="113">
        <f t="shared" si="37"/>
        <v>6.386409238</v>
      </c>
      <c r="K40" s="113">
        <f t="shared" si="37"/>
        <v>6.827345565</v>
      </c>
      <c r="L40" s="113">
        <f t="shared" si="37"/>
        <v>7.289538719</v>
      </c>
      <c r="M40" s="113">
        <f t="shared" si="37"/>
        <v>7.651423087</v>
      </c>
      <c r="N40" s="113">
        <f t="shared" si="37"/>
        <v>7.997690039</v>
      </c>
      <c r="O40" s="113">
        <f t="shared" si="37"/>
        <v>8.449454035</v>
      </c>
      <c r="P40" s="113">
        <f t="shared" si="37"/>
        <v>8.885076912</v>
      </c>
      <c r="Q40" s="113">
        <f t="shared" si="37"/>
        <v>9.389183291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116" t="s">
        <v>537</v>
      </c>
      <c r="C42" s="5"/>
      <c r="D42" s="5"/>
      <c r="E42" s="5"/>
      <c r="F42" s="101">
        <f t="shared" ref="F42:Q42" si="38">SUM(F43:F54)</f>
        <v>245825.0861</v>
      </c>
      <c r="G42" s="101">
        <f t="shared" si="38"/>
        <v>265908.4109</v>
      </c>
      <c r="H42" s="101">
        <f t="shared" si="38"/>
        <v>288998.403</v>
      </c>
      <c r="I42" s="101">
        <f t="shared" si="38"/>
        <v>322063.4622</v>
      </c>
      <c r="J42" s="101">
        <f t="shared" si="38"/>
        <v>345289.9834</v>
      </c>
      <c r="K42" s="101">
        <f t="shared" si="38"/>
        <v>366898.3828</v>
      </c>
      <c r="L42" s="101">
        <f t="shared" si="38"/>
        <v>390353.7102</v>
      </c>
      <c r="M42" s="101">
        <f t="shared" si="38"/>
        <v>409505.9447</v>
      </c>
      <c r="N42" s="101">
        <f t="shared" si="38"/>
        <v>425072.6671</v>
      </c>
      <c r="O42" s="101">
        <f t="shared" si="38"/>
        <v>449682.9849</v>
      </c>
      <c r="P42" s="101">
        <f t="shared" si="38"/>
        <v>473684.4772</v>
      </c>
      <c r="Q42" s="101">
        <f t="shared" si="38"/>
        <v>498292.5168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103" t="s">
        <v>523</v>
      </c>
      <c r="C43" s="5"/>
      <c r="D43" s="5"/>
      <c r="E43" s="5"/>
      <c r="F43" s="104">
        <f t="shared" ref="F43:Q43" si="39">F29*$G86</f>
        <v>72000</v>
      </c>
      <c r="G43" s="104">
        <f t="shared" si="39"/>
        <v>76500</v>
      </c>
      <c r="H43" s="104">
        <f t="shared" si="39"/>
        <v>81000</v>
      </c>
      <c r="I43" s="104">
        <f t="shared" si="39"/>
        <v>90000</v>
      </c>
      <c r="J43" s="104">
        <f t="shared" si="39"/>
        <v>94500</v>
      </c>
      <c r="K43" s="104">
        <f t="shared" si="39"/>
        <v>99000</v>
      </c>
      <c r="L43" s="104">
        <f t="shared" si="39"/>
        <v>103500</v>
      </c>
      <c r="M43" s="104">
        <f t="shared" si="39"/>
        <v>108000</v>
      </c>
      <c r="N43" s="104">
        <f t="shared" si="39"/>
        <v>112500</v>
      </c>
      <c r="O43" s="104">
        <f t="shared" si="39"/>
        <v>121500</v>
      </c>
      <c r="P43" s="104">
        <f t="shared" si="39"/>
        <v>126000</v>
      </c>
      <c r="Q43" s="104">
        <f t="shared" si="39"/>
        <v>130500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114" t="s">
        <v>531</v>
      </c>
      <c r="C44" s="5"/>
      <c r="D44" s="5"/>
      <c r="E44" s="5"/>
      <c r="F44" s="104">
        <f t="shared" ref="F44:Q44" si="40">F30*$G$97</f>
        <v>18061.53846</v>
      </c>
      <c r="G44" s="104">
        <f t="shared" si="40"/>
        <v>19462.76923</v>
      </c>
      <c r="H44" s="104">
        <f t="shared" si="40"/>
        <v>20751.90154</v>
      </c>
      <c r="I44" s="104">
        <f t="shared" si="40"/>
        <v>22222.51865</v>
      </c>
      <c r="J44" s="104">
        <f t="shared" si="40"/>
        <v>23575.48639</v>
      </c>
      <c r="K44" s="104">
        <f t="shared" si="40"/>
        <v>24820.21671</v>
      </c>
      <c r="L44" s="104">
        <f t="shared" si="40"/>
        <v>26249.98398</v>
      </c>
      <c r="M44" s="104">
        <f t="shared" si="40"/>
        <v>27565.36988</v>
      </c>
      <c r="N44" s="104">
        <f t="shared" si="40"/>
        <v>28775.52491</v>
      </c>
      <c r="O44" s="104">
        <f t="shared" si="40"/>
        <v>30173.48291</v>
      </c>
      <c r="P44" s="104">
        <f t="shared" si="40"/>
        <v>31459.60428</v>
      </c>
      <c r="Q44" s="104">
        <f t="shared" si="40"/>
        <v>32642.83594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103" t="s">
        <v>524</v>
      </c>
      <c r="C45" s="5"/>
      <c r="D45" s="5"/>
      <c r="E45" s="5"/>
      <c r="F45" s="104">
        <f t="shared" ref="F45:Q45" si="41">F31*$G87</f>
        <v>15000</v>
      </c>
      <c r="G45" s="104">
        <f t="shared" si="41"/>
        <v>18000</v>
      </c>
      <c r="H45" s="104">
        <f t="shared" si="41"/>
        <v>21000</v>
      </c>
      <c r="I45" s="104">
        <f t="shared" si="41"/>
        <v>24000</v>
      </c>
      <c r="J45" s="104">
        <f t="shared" si="41"/>
        <v>27000</v>
      </c>
      <c r="K45" s="104">
        <f t="shared" si="41"/>
        <v>30000</v>
      </c>
      <c r="L45" s="104">
        <f t="shared" si="41"/>
        <v>33000</v>
      </c>
      <c r="M45" s="104">
        <f t="shared" si="41"/>
        <v>36000</v>
      </c>
      <c r="N45" s="104">
        <f t="shared" si="41"/>
        <v>36000</v>
      </c>
      <c r="O45" s="104">
        <f t="shared" si="41"/>
        <v>39000</v>
      </c>
      <c r="P45" s="104">
        <f t="shared" si="41"/>
        <v>42000</v>
      </c>
      <c r="Q45" s="104">
        <f t="shared" si="41"/>
        <v>45000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114" t="s">
        <v>532</v>
      </c>
      <c r="C46" s="5"/>
      <c r="D46" s="5"/>
      <c r="E46" s="5"/>
      <c r="F46" s="104">
        <f t="shared" ref="F46:Q46" si="42">F31*$G$96</f>
        <v>15000</v>
      </c>
      <c r="G46" s="104">
        <f t="shared" si="42"/>
        <v>18000</v>
      </c>
      <c r="H46" s="104">
        <f t="shared" si="42"/>
        <v>21000</v>
      </c>
      <c r="I46" s="104">
        <f t="shared" si="42"/>
        <v>24000</v>
      </c>
      <c r="J46" s="104">
        <f t="shared" si="42"/>
        <v>27000</v>
      </c>
      <c r="K46" s="104">
        <f t="shared" si="42"/>
        <v>30000</v>
      </c>
      <c r="L46" s="104">
        <f t="shared" si="42"/>
        <v>33000</v>
      </c>
      <c r="M46" s="104">
        <f t="shared" si="42"/>
        <v>36000</v>
      </c>
      <c r="N46" s="104">
        <f t="shared" si="42"/>
        <v>36000</v>
      </c>
      <c r="O46" s="104">
        <f t="shared" si="42"/>
        <v>39000</v>
      </c>
      <c r="P46" s="104">
        <f t="shared" si="42"/>
        <v>42000</v>
      </c>
      <c r="Q46" s="104">
        <f t="shared" si="42"/>
        <v>45000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103" t="s">
        <v>525</v>
      </c>
      <c r="C47" s="5"/>
      <c r="D47" s="5"/>
      <c r="E47" s="5"/>
      <c r="F47" s="104">
        <f t="shared" ref="F47:Q47" si="43">F33*$G88</f>
        <v>12000</v>
      </c>
      <c r="G47" s="104">
        <f t="shared" si="43"/>
        <v>12000</v>
      </c>
      <c r="H47" s="104">
        <f t="shared" si="43"/>
        <v>15000</v>
      </c>
      <c r="I47" s="104">
        <f t="shared" si="43"/>
        <v>15000</v>
      </c>
      <c r="J47" s="104">
        <f t="shared" si="43"/>
        <v>18000</v>
      </c>
      <c r="K47" s="104">
        <f t="shared" si="43"/>
        <v>18000</v>
      </c>
      <c r="L47" s="104">
        <f t="shared" si="43"/>
        <v>21000</v>
      </c>
      <c r="M47" s="104">
        <f t="shared" si="43"/>
        <v>21000</v>
      </c>
      <c r="N47" s="104">
        <f t="shared" si="43"/>
        <v>24000</v>
      </c>
      <c r="O47" s="104">
        <f t="shared" si="43"/>
        <v>24000</v>
      </c>
      <c r="P47" s="104">
        <f t="shared" si="43"/>
        <v>24000</v>
      </c>
      <c r="Q47" s="104">
        <f t="shared" si="43"/>
        <v>27000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114" t="s">
        <v>533</v>
      </c>
      <c r="C48" s="5"/>
      <c r="D48" s="5"/>
      <c r="E48" s="5"/>
      <c r="F48" s="104">
        <f t="shared" ref="F48:Q48" si="44">F34*$G$95</f>
        <v>13575.94696</v>
      </c>
      <c r="G48" s="104">
        <f t="shared" si="44"/>
        <v>15614.61817</v>
      </c>
      <c r="H48" s="104">
        <f t="shared" si="44"/>
        <v>17490.19568</v>
      </c>
      <c r="I48" s="104">
        <f t="shared" si="44"/>
        <v>19528.20169</v>
      </c>
      <c r="J48" s="104">
        <f t="shared" si="44"/>
        <v>21403.16721</v>
      </c>
      <c r="K48" s="104">
        <f t="shared" si="44"/>
        <v>23128.13549</v>
      </c>
      <c r="L48" s="104">
        <f t="shared" si="44"/>
        <v>25027.58101</v>
      </c>
      <c r="M48" s="104">
        <f t="shared" si="44"/>
        <v>26775.07089</v>
      </c>
      <c r="N48" s="104">
        <f t="shared" si="44"/>
        <v>28382.76157</v>
      </c>
      <c r="O48" s="104">
        <f t="shared" si="44"/>
        <v>30174.3117</v>
      </c>
      <c r="P48" s="104">
        <f t="shared" si="44"/>
        <v>31822.53781</v>
      </c>
      <c r="Q48" s="104">
        <f t="shared" si="44"/>
        <v>33338.90584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103" t="s">
        <v>526</v>
      </c>
      <c r="C49" s="5"/>
      <c r="D49" s="5"/>
      <c r="E49" s="5"/>
      <c r="F49" s="104">
        <f t="shared" ref="F49:Q49" si="45">F35*$G89</f>
        <v>9000</v>
      </c>
      <c r="G49" s="104">
        <f t="shared" si="45"/>
        <v>9000</v>
      </c>
      <c r="H49" s="104">
        <f t="shared" si="45"/>
        <v>9000</v>
      </c>
      <c r="I49" s="104">
        <f t="shared" si="45"/>
        <v>9000</v>
      </c>
      <c r="J49" s="104">
        <f t="shared" si="45"/>
        <v>9000</v>
      </c>
      <c r="K49" s="104">
        <f t="shared" si="45"/>
        <v>9000</v>
      </c>
      <c r="L49" s="104">
        <f t="shared" si="45"/>
        <v>9000</v>
      </c>
      <c r="M49" s="104">
        <f t="shared" si="45"/>
        <v>9000</v>
      </c>
      <c r="N49" s="104">
        <f t="shared" si="45"/>
        <v>9000</v>
      </c>
      <c r="O49" s="104">
        <f t="shared" si="45"/>
        <v>9000</v>
      </c>
      <c r="P49" s="104">
        <f t="shared" si="45"/>
        <v>13500</v>
      </c>
      <c r="Q49" s="104">
        <f t="shared" si="45"/>
        <v>13500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103" t="s">
        <v>527</v>
      </c>
      <c r="C50" s="5"/>
      <c r="D50" s="5"/>
      <c r="E50" s="5"/>
      <c r="F50" s="104">
        <f t="shared" ref="F50:Q50" si="46">F36*$G90</f>
        <v>6000</v>
      </c>
      <c r="G50" s="104">
        <f t="shared" si="46"/>
        <v>6000</v>
      </c>
      <c r="H50" s="104">
        <f t="shared" si="46"/>
        <v>6000</v>
      </c>
      <c r="I50" s="104">
        <f t="shared" si="46"/>
        <v>6000</v>
      </c>
      <c r="J50" s="104">
        <f t="shared" si="46"/>
        <v>6000</v>
      </c>
      <c r="K50" s="104">
        <f t="shared" si="46"/>
        <v>8000</v>
      </c>
      <c r="L50" s="104">
        <f t="shared" si="46"/>
        <v>8000</v>
      </c>
      <c r="M50" s="104">
        <f t="shared" si="46"/>
        <v>8000</v>
      </c>
      <c r="N50" s="104">
        <f t="shared" si="46"/>
        <v>8000</v>
      </c>
      <c r="O50" s="104">
        <f t="shared" si="46"/>
        <v>8000</v>
      </c>
      <c r="P50" s="104">
        <f t="shared" si="46"/>
        <v>8000</v>
      </c>
      <c r="Q50" s="104">
        <f t="shared" si="46"/>
        <v>10000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114" t="s">
        <v>534</v>
      </c>
      <c r="C51" s="5"/>
      <c r="D51" s="5"/>
      <c r="E51" s="5"/>
      <c r="F51" s="104">
        <f t="shared" ref="F51:Q51" si="47">F37*$G$98</f>
        <v>2451.953904</v>
      </c>
      <c r="G51" s="104">
        <f t="shared" si="47"/>
        <v>2643.361251</v>
      </c>
      <c r="H51" s="104">
        <f t="shared" si="47"/>
        <v>2819.456011</v>
      </c>
      <c r="I51" s="104">
        <f t="shared" si="47"/>
        <v>3020.219556</v>
      </c>
      <c r="J51" s="104">
        <f t="shared" si="47"/>
        <v>3204.922017</v>
      </c>
      <c r="K51" s="104">
        <f t="shared" si="47"/>
        <v>3374.848282</v>
      </c>
      <c r="L51" s="104">
        <f t="shared" si="47"/>
        <v>3569.936811</v>
      </c>
      <c r="M51" s="104">
        <f t="shared" si="47"/>
        <v>3749.418258</v>
      </c>
      <c r="N51" s="104">
        <f t="shared" si="47"/>
        <v>3914.541189</v>
      </c>
      <c r="O51" s="104">
        <f t="shared" si="47"/>
        <v>4105.210652</v>
      </c>
      <c r="P51" s="104">
        <f t="shared" si="47"/>
        <v>4280.626558</v>
      </c>
      <c r="Q51" s="104">
        <f t="shared" si="47"/>
        <v>4442.009191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114" t="s">
        <v>529</v>
      </c>
      <c r="C52" s="5"/>
      <c r="D52" s="5"/>
      <c r="E52" s="5"/>
      <c r="F52" s="104">
        <f t="shared" ref="F52:Q52" si="48">F38*$G91</f>
        <v>21000</v>
      </c>
      <c r="G52" s="104">
        <f t="shared" si="48"/>
        <v>21000</v>
      </c>
      <c r="H52" s="104">
        <f t="shared" si="48"/>
        <v>21000</v>
      </c>
      <c r="I52" s="104">
        <f t="shared" si="48"/>
        <v>28000</v>
      </c>
      <c r="J52" s="104">
        <f t="shared" si="48"/>
        <v>28000</v>
      </c>
      <c r="K52" s="104">
        <f t="shared" si="48"/>
        <v>28000</v>
      </c>
      <c r="L52" s="104">
        <f t="shared" si="48"/>
        <v>28000</v>
      </c>
      <c r="M52" s="104">
        <f t="shared" si="48"/>
        <v>28000</v>
      </c>
      <c r="N52" s="104">
        <f t="shared" si="48"/>
        <v>28000</v>
      </c>
      <c r="O52" s="104">
        <f t="shared" si="48"/>
        <v>28000</v>
      </c>
      <c r="P52" s="104">
        <f t="shared" si="48"/>
        <v>28000</v>
      </c>
      <c r="Q52" s="104">
        <f t="shared" si="48"/>
        <v>28000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114" t="s">
        <v>535</v>
      </c>
      <c r="C53" s="5"/>
      <c r="D53" s="5"/>
      <c r="E53" s="5"/>
      <c r="F53" s="104">
        <f t="shared" ref="F53:Q53" si="49">F39*$G$92</f>
        <v>25540.23963</v>
      </c>
      <c r="G53" s="104">
        <f t="shared" si="49"/>
        <v>28372.01564</v>
      </c>
      <c r="H53" s="104">
        <f t="shared" si="49"/>
        <v>30977.24957</v>
      </c>
      <c r="I53" s="104">
        <f t="shared" si="49"/>
        <v>33861.5643</v>
      </c>
      <c r="J53" s="104">
        <f t="shared" si="49"/>
        <v>36515.13386</v>
      </c>
      <c r="K53" s="104">
        <f t="shared" si="49"/>
        <v>38956.41785</v>
      </c>
      <c r="L53" s="104">
        <f t="shared" si="49"/>
        <v>41689.89864</v>
      </c>
      <c r="M53" s="104">
        <f t="shared" si="49"/>
        <v>44204.70096</v>
      </c>
      <c r="N53" s="104">
        <f t="shared" si="49"/>
        <v>46518.31911</v>
      </c>
      <c r="O53" s="104">
        <f t="shared" si="49"/>
        <v>49134.34731</v>
      </c>
      <c r="P53" s="104">
        <f t="shared" si="49"/>
        <v>51541.09326</v>
      </c>
      <c r="Q53" s="104">
        <f t="shared" si="49"/>
        <v>53755.29954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114" t="s">
        <v>536</v>
      </c>
      <c r="C54" s="5"/>
      <c r="D54" s="5"/>
      <c r="E54" s="5"/>
      <c r="F54" s="60">
        <f t="shared" ref="F54:Q54" si="50">F40*$G$93</f>
        <v>36195.40715</v>
      </c>
      <c r="G54" s="60">
        <f t="shared" si="50"/>
        <v>39315.64657</v>
      </c>
      <c r="H54" s="60">
        <f t="shared" si="50"/>
        <v>42959.60017</v>
      </c>
      <c r="I54" s="60">
        <f t="shared" si="50"/>
        <v>47430.95802</v>
      </c>
      <c r="J54" s="60">
        <f t="shared" si="50"/>
        <v>51091.2739</v>
      </c>
      <c r="K54" s="60">
        <f t="shared" si="50"/>
        <v>54618.76452</v>
      </c>
      <c r="L54" s="60">
        <f t="shared" si="50"/>
        <v>58316.30975</v>
      </c>
      <c r="M54" s="60">
        <f t="shared" si="50"/>
        <v>61211.3847</v>
      </c>
      <c r="N54" s="60">
        <f t="shared" si="50"/>
        <v>63981.52031</v>
      </c>
      <c r="O54" s="60">
        <f t="shared" si="50"/>
        <v>67595.63228</v>
      </c>
      <c r="P54" s="60">
        <f t="shared" si="50"/>
        <v>71080.61529</v>
      </c>
      <c r="Q54" s="60">
        <f t="shared" si="50"/>
        <v>75113.46633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116" t="s">
        <v>453</v>
      </c>
      <c r="C57" s="5"/>
      <c r="D57" s="5"/>
      <c r="E57" s="5"/>
      <c r="F57" s="60">
        <f t="shared" ref="F57:Q57" si="51">F28*600</f>
        <v>35290.52197</v>
      </c>
      <c r="G57" s="60">
        <f t="shared" si="51"/>
        <v>38332.75541</v>
      </c>
      <c r="H57" s="60">
        <f t="shared" si="51"/>
        <v>41885.61017</v>
      </c>
      <c r="I57" s="60">
        <f t="shared" si="51"/>
        <v>46245.18407</v>
      </c>
      <c r="J57" s="60">
        <f t="shared" si="51"/>
        <v>49813.99206</v>
      </c>
      <c r="K57" s="60">
        <f t="shared" si="51"/>
        <v>53253.29541</v>
      </c>
      <c r="L57" s="60">
        <f t="shared" si="51"/>
        <v>56858.40201</v>
      </c>
      <c r="M57" s="60">
        <f t="shared" si="51"/>
        <v>59681.10008</v>
      </c>
      <c r="N57" s="60">
        <f t="shared" si="51"/>
        <v>62381.98231</v>
      </c>
      <c r="O57" s="60">
        <f t="shared" si="51"/>
        <v>65905.74148</v>
      </c>
      <c r="P57" s="60">
        <f t="shared" si="51"/>
        <v>69303.59991</v>
      </c>
      <c r="Q57" s="60">
        <f t="shared" si="51"/>
        <v>73235.62967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117">
        <f t="shared" ref="F58:Q58" si="52">(F42+F57)/F3</f>
        <v>0.2734587627</v>
      </c>
      <c r="G58" s="117">
        <f t="shared" si="52"/>
        <v>0.2655365576</v>
      </c>
      <c r="H58" s="117">
        <f t="shared" si="52"/>
        <v>0.2638419777</v>
      </c>
      <c r="I58" s="117">
        <f t="shared" si="52"/>
        <v>0.2681004152</v>
      </c>
      <c r="J58" s="117">
        <f t="shared" si="52"/>
        <v>0.2662659747</v>
      </c>
      <c r="K58" s="117">
        <f t="shared" si="52"/>
        <v>0.2650531674</v>
      </c>
      <c r="L58" s="117">
        <f t="shared" si="52"/>
        <v>0.2633219596</v>
      </c>
      <c r="M58" s="117">
        <f t="shared" si="52"/>
        <v>0.2603009161</v>
      </c>
      <c r="N58" s="117">
        <f t="shared" si="52"/>
        <v>0.2567873944</v>
      </c>
      <c r="O58" s="117">
        <f t="shared" si="52"/>
        <v>0.2569696726</v>
      </c>
      <c r="P58" s="117">
        <f t="shared" si="52"/>
        <v>0.2578407156</v>
      </c>
      <c r="Q58" s="117">
        <f t="shared" si="52"/>
        <v>0.2600890346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118" t="s">
        <v>538</v>
      </c>
      <c r="D61" s="119"/>
      <c r="E61" s="119"/>
      <c r="F61" s="11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120" t="s">
        <v>539</v>
      </c>
      <c r="D62" s="121" t="s">
        <v>538</v>
      </c>
      <c r="E62" s="122" t="s">
        <v>540</v>
      </c>
      <c r="F62" s="123" t="s">
        <v>401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124" t="s">
        <v>158</v>
      </c>
      <c r="D63" s="125">
        <v>179880.0</v>
      </c>
      <c r="E63" s="126">
        <v>72.0</v>
      </c>
      <c r="F63" s="125">
        <v>2498.3333333333335</v>
      </c>
      <c r="G63" s="127">
        <f t="shared" ref="G63:G73" si="53">D63/$D$74</f>
        <v>0.369206177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124" t="s">
        <v>207</v>
      </c>
      <c r="D64" s="125">
        <v>152823.0</v>
      </c>
      <c r="E64" s="126">
        <v>48.0</v>
      </c>
      <c r="F64" s="125">
        <v>3183.8125</v>
      </c>
      <c r="G64" s="127">
        <f t="shared" si="53"/>
        <v>0.3136713119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124" t="s">
        <v>541</v>
      </c>
      <c r="D65" s="125">
        <v>95150.0</v>
      </c>
      <c r="E65" s="126">
        <v>48.0</v>
      </c>
      <c r="F65" s="125">
        <v>1982.2916666666667</v>
      </c>
      <c r="G65" s="127">
        <f t="shared" si="53"/>
        <v>0.1952966852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124" t="s">
        <v>247</v>
      </c>
      <c r="D66" s="125">
        <v>22000.0</v>
      </c>
      <c r="E66" s="126">
        <v>5.0</v>
      </c>
      <c r="F66" s="125">
        <v>4400.0</v>
      </c>
      <c r="G66" s="127">
        <f t="shared" si="53"/>
        <v>0.04515530294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124" t="s">
        <v>542</v>
      </c>
      <c r="D67" s="125">
        <v>19354.45</v>
      </c>
      <c r="E67" s="126">
        <v>11.0</v>
      </c>
      <c r="F67" s="125">
        <v>1759.4954545454545</v>
      </c>
      <c r="G67" s="127">
        <f t="shared" si="53"/>
        <v>0.03972527514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124" t="s">
        <v>543</v>
      </c>
      <c r="D68" s="125">
        <v>5091.0</v>
      </c>
      <c r="E68" s="126">
        <v>5.0</v>
      </c>
      <c r="F68" s="125">
        <v>1018.2</v>
      </c>
      <c r="G68" s="127">
        <f t="shared" si="53"/>
        <v>0.0104493476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124" t="s">
        <v>544</v>
      </c>
      <c r="D69" s="125">
        <v>3772.0</v>
      </c>
      <c r="E69" s="126">
        <v>4.0</v>
      </c>
      <c r="F69" s="125">
        <v>943.0</v>
      </c>
      <c r="G69" s="127">
        <f t="shared" si="53"/>
        <v>0.007742081941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124" t="s">
        <v>545</v>
      </c>
      <c r="D70" s="125">
        <v>2555.0</v>
      </c>
      <c r="E70" s="126">
        <v>3.0</v>
      </c>
      <c r="F70" s="125">
        <v>851.6666666666666</v>
      </c>
      <c r="G70" s="127">
        <f t="shared" si="53"/>
        <v>0.005244172682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124" t="s">
        <v>546</v>
      </c>
      <c r="D71" s="125">
        <v>2399.0</v>
      </c>
      <c r="E71" s="126">
        <v>2.0</v>
      </c>
      <c r="F71" s="125">
        <v>1199.5</v>
      </c>
      <c r="G71" s="127">
        <f t="shared" si="53"/>
        <v>0.004923980534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124" t="s">
        <v>547</v>
      </c>
      <c r="D72" s="125">
        <v>2183.0</v>
      </c>
      <c r="E72" s="126">
        <v>4.0</v>
      </c>
      <c r="F72" s="125">
        <v>545.75</v>
      </c>
      <c r="G72" s="127">
        <f t="shared" si="53"/>
        <v>0.00448063756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124" t="s">
        <v>548</v>
      </c>
      <c r="D73" s="125">
        <v>2000.0</v>
      </c>
      <c r="E73" s="126">
        <v>1.0</v>
      </c>
      <c r="F73" s="125">
        <v>2000.0</v>
      </c>
      <c r="G73" s="127">
        <f t="shared" si="53"/>
        <v>0.00410502754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128" t="s">
        <v>549</v>
      </c>
      <c r="D74" s="129">
        <v>487207.45</v>
      </c>
      <c r="E74" s="130">
        <v>203.0</v>
      </c>
      <c r="F74" s="129">
        <v>2400.036699507389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78"/>
      <c r="D75" s="78"/>
      <c r="E75" s="78"/>
      <c r="F75" s="78"/>
      <c r="G75" s="131"/>
      <c r="H75" s="7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78"/>
      <c r="D76" s="78"/>
      <c r="E76" s="78"/>
      <c r="F76" s="132">
        <v>300000.0</v>
      </c>
      <c r="G76" s="131"/>
      <c r="H76" s="7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133"/>
      <c r="D77" s="133"/>
      <c r="E77" s="133"/>
      <c r="F77" s="134">
        <f>D74/F76</f>
        <v>1.624024833</v>
      </c>
      <c r="G77" s="131"/>
      <c r="H77" s="7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78"/>
      <c r="D78" s="78"/>
      <c r="E78" s="78"/>
      <c r="F78" s="78"/>
      <c r="G78" s="131"/>
      <c r="H78" s="7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78"/>
      <c r="D79" s="78"/>
      <c r="E79" s="78"/>
      <c r="F79" s="78"/>
      <c r="G79" s="131"/>
      <c r="H79" s="7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7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135" t="s">
        <v>550</v>
      </c>
      <c r="C81" s="136">
        <v>0.05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137" t="s">
        <v>419</v>
      </c>
      <c r="C82" s="132">
        <v>1000000.0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135" t="s">
        <v>421</v>
      </c>
      <c r="C83" s="136">
        <v>0.08</v>
      </c>
      <c r="D83" s="131"/>
      <c r="E83" s="7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78"/>
      <c r="D84" s="131"/>
      <c r="E84" s="7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138" t="s">
        <v>551</v>
      </c>
      <c r="D85" s="139" t="s">
        <v>552</v>
      </c>
      <c r="E85" s="138" t="s">
        <v>553</v>
      </c>
      <c r="F85" s="5" t="s">
        <v>421</v>
      </c>
      <c r="G85" s="4" t="s">
        <v>537</v>
      </c>
      <c r="H85" s="4" t="s">
        <v>554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124" t="str">
        <f t="shared" ref="B86:B91" si="54">C63</f>
        <v>Performance</v>
      </c>
      <c r="C86" s="140">
        <v>3000.0</v>
      </c>
      <c r="D86" s="141">
        <v>0.37</v>
      </c>
      <c r="E86" s="142">
        <v>10.0</v>
      </c>
      <c r="F86" s="143">
        <v>0.08</v>
      </c>
      <c r="G86" s="144">
        <v>4500.0</v>
      </c>
      <c r="H86" s="60">
        <f t="shared" ref="H86:H91" si="55">C86*E86</f>
        <v>30000</v>
      </c>
      <c r="I86" s="14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124" t="str">
        <f t="shared" si="54"/>
        <v>Creators</v>
      </c>
      <c r="C87" s="146">
        <v>3000.0</v>
      </c>
      <c r="D87" s="141">
        <v>0.3136713118816225</v>
      </c>
      <c r="E87" s="147">
        <v>15.0</v>
      </c>
      <c r="F87" s="143">
        <v>0.08</v>
      </c>
      <c r="G87" s="144">
        <v>3000.0</v>
      </c>
      <c r="H87" s="60">
        <f t="shared" si="55"/>
        <v>45000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124" t="str">
        <f t="shared" si="54"/>
        <v>Social Media</v>
      </c>
      <c r="C88" s="146">
        <v>2500.0</v>
      </c>
      <c r="D88" s="141">
        <v>0.19529668522104907</v>
      </c>
      <c r="E88" s="142">
        <v>20.0</v>
      </c>
      <c r="F88" s="143">
        <v>0.08</v>
      </c>
      <c r="G88" s="144">
        <v>3000.0</v>
      </c>
      <c r="H88" s="60">
        <f t="shared" si="55"/>
        <v>50000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124" t="str">
        <f t="shared" si="54"/>
        <v>Gestão de Comunidade</v>
      </c>
      <c r="C89" s="146">
        <v>5000.0</v>
      </c>
      <c r="D89" s="141">
        <v>0.04515530294128302</v>
      </c>
      <c r="E89" s="142">
        <v>10.0</v>
      </c>
      <c r="F89" s="143">
        <v>0.08</v>
      </c>
      <c r="G89" s="144">
        <v>4500.0</v>
      </c>
      <c r="H89" s="60">
        <f t="shared" si="55"/>
        <v>50000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124" t="str">
        <f t="shared" si="54"/>
        <v>E-mail Marketing</v>
      </c>
      <c r="C90" s="146">
        <v>1500.0</v>
      </c>
      <c r="D90" s="141">
        <f t="shared" ref="D90:D91" si="56">G67</f>
        <v>0.03972527514</v>
      </c>
      <c r="E90" s="142">
        <v>15.0</v>
      </c>
      <c r="F90" s="143">
        <v>0.08</v>
      </c>
      <c r="G90" s="144">
        <v>2000.0</v>
      </c>
      <c r="H90" s="60">
        <f t="shared" si="55"/>
        <v>22500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124" t="str">
        <f t="shared" si="54"/>
        <v>Sustentação</v>
      </c>
      <c r="C91" s="146">
        <v>1500.0</v>
      </c>
      <c r="D91" s="141">
        <f t="shared" si="56"/>
        <v>0.0104493476</v>
      </c>
      <c r="E91" s="142">
        <v>15.0</v>
      </c>
      <c r="F91" s="143">
        <v>0.08</v>
      </c>
      <c r="G91" s="144">
        <v>7000.0</v>
      </c>
      <c r="H91" s="60">
        <f t="shared" si="55"/>
        <v>22500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148" t="s">
        <v>555</v>
      </c>
      <c r="C92" s="149"/>
      <c r="D92" s="141"/>
      <c r="E92" s="149"/>
      <c r="F92" s="150"/>
      <c r="G92" s="144">
        <v>4000.0</v>
      </c>
      <c r="H92" s="9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148" t="s">
        <v>556</v>
      </c>
      <c r="C93" s="60"/>
      <c r="D93" s="151"/>
      <c r="E93" s="92"/>
      <c r="F93" s="92"/>
      <c r="G93" s="152">
        <v>8000.0</v>
      </c>
      <c r="H93" s="9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E94" s="1" t="s">
        <v>557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148" t="s">
        <v>558</v>
      </c>
      <c r="C95" s="153"/>
      <c r="D95" s="154"/>
      <c r="E95" s="155">
        <v>15.0</v>
      </c>
      <c r="F95" s="153"/>
      <c r="G95" s="155">
        <v>3000.0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148" t="s">
        <v>559</v>
      </c>
      <c r="C96" s="153"/>
      <c r="D96" s="154"/>
      <c r="E96" s="155">
        <v>20.0</v>
      </c>
      <c r="F96" s="153"/>
      <c r="G96" s="155">
        <v>3000.0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148" t="s">
        <v>185</v>
      </c>
      <c r="C97" s="153"/>
      <c r="D97" s="153"/>
      <c r="E97" s="155">
        <v>26.0</v>
      </c>
      <c r="F97" s="153"/>
      <c r="G97" s="155">
        <v>3000.0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148" t="s">
        <v>560</v>
      </c>
      <c r="C98" s="153"/>
      <c r="D98" s="153"/>
      <c r="E98" s="155">
        <v>41.0</v>
      </c>
      <c r="F98" s="153"/>
      <c r="G98" s="155">
        <v>3000.0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156"/>
      <c r="C99" s="13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156" t="s">
        <v>561</v>
      </c>
      <c r="C100" s="136">
        <v>0.25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 t="s">
        <v>329</v>
      </c>
      <c r="C101" s="157">
        <v>0.25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 t="s">
        <v>562</v>
      </c>
      <c r="C102" s="157">
        <v>0.16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 t="s">
        <v>563</v>
      </c>
      <c r="C103" s="157">
        <v>0.08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 t="s">
        <v>564</v>
      </c>
      <c r="C104" s="157">
        <v>0.07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</sheetData>
  <drawing r:id="rId1"/>
</worksheet>
</file>